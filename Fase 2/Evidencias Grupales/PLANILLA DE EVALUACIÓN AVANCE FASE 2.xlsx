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worksheets/sheet13.xml" ContentType="application/vnd.openxmlformats-officedocument.spreadsheetml.worksheet+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166925"/>
  <mc:AlternateContent xmlns:mc="http://schemas.openxmlformats.org/markup-compatibility/2006">
    <mc:Choice Requires="x15">
      <x15ac:absPath xmlns:x15ac="http://schemas.microsoft.com/office/spreadsheetml/2010/11/ac" url="https://duoccl0-my.sharepoint.com/personal/ge_galan_profesor_duoc_cl/Documents/2024-2/Clases/CAPSTONE/"/>
    </mc:Choice>
  </mc:AlternateContent>
  <xr:revisionPtr revIDLastSave="628" documentId="8_{2EFDF332-31E9-4C74-A6B5-E695634C1C45}" xr6:coauthVersionLast="47" xr6:coauthVersionMax="47" xr10:uidLastSave="{963FD2AD-F390-4590-BC90-915A09DBAA60}"/>
  <bookViews>
    <workbookView xWindow="-108" yWindow="-108" windowWidth="23256" windowHeight="12456" activeTab="1" xr2:uid="{00000000-000D-0000-FFFF-FFFF00000000}"/>
  </bookViews>
  <sheets>
    <sheet name="EVALUACION2" sheetId="1" r:id="rId1"/>
    <sheet name="RUBRICA" sheetId="12" r:id="rId2"/>
    <sheet name="ESCALA_IEP" sheetId="2" state="hidden" r:id="rId3"/>
    <sheet name="ESCALA_PRESENTACION" sheetId="3" state="hidden" r:id="rId4"/>
    <sheet name="ESCALA_TRAB_EQUIP" sheetId="4" state="hidden" r:id="rId5"/>
    <sheet name="RELEVANCIA-PUNTAJE" sheetId="5" state="hidden" r:id="rId6"/>
    <sheet name="Evidencias del equipo" sheetId="13" r:id="rId11"/>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9" fullCalcOn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<sst xmlns="http://schemas.openxmlformats.org/spreadsheetml/2006/main" count="81" uniqueCount="63">
  <si>
    <t>PUNTOS</t>
  </si>
  <si>
    <t>NOTA</t>
  </si>
  <si>
    <t>INTEGRANTES</t>
  </si>
  <si>
    <t>Relevancia</t>
  </si>
  <si>
    <t>Puntaje</t>
  </si>
  <si>
    <t>Completamente logrado</t>
  </si>
  <si>
    <t>Logrado</t>
  </si>
  <si>
    <t>No logrado</t>
  </si>
  <si>
    <t>Muy Relevante</t>
  </si>
  <si>
    <t>GRUPAL</t>
  </si>
  <si>
    <t>Nivel de Logro</t>
  </si>
  <si>
    <t>NIVELES DE LOGRO Y PUNTAJES</t>
  </si>
  <si>
    <t>Aspectos a Evaluar</t>
  </si>
  <si>
    <t>Nota</t>
  </si>
  <si>
    <t>Indicador de Evaluación</t>
  </si>
  <si>
    <t>Categorías de Respuesta</t>
  </si>
  <si>
    <t>Ponderación del Indicador de Evaluación</t>
  </si>
  <si>
    <r>
      <t>Logrado</t>
    </r>
    <r>
      <rPr>
        <b/>
        <sz val="10"/>
        <color rgb="FFFFFFFF"/>
        <rFont val="Calibri"/>
        <family val="2"/>
      </rPr>
      <t xml:space="preserve">  (60%)</t>
    </r>
  </si>
  <si>
    <t xml:space="preserve">Logro incipiente </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</si>
  <si>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</si>
  <si>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</si>
  <si>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</si>
  <si>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El texto cumple con las reglas ortografía y de redacción en todos sus apartados y utiliza correctamente todas las normas de citación y referencias.</t>
  </si>
  <si>
    <t>Logro Incipiente</t>
  </si>
  <si>
    <t>Logro incipiente</t>
  </si>
  <si>
    <r>
      <t>Completamente Logrado</t>
    </r>
    <r>
      <rPr>
        <b/>
        <sz val="10"/>
        <color rgb="FFFFFFFF"/>
        <rFont val="Calibri"/>
        <family val="2"/>
      </rPr>
      <t xml:space="preserve">  (100%)</t>
    </r>
  </si>
  <si>
    <t xml:space="preserve">1. Propone ajustes al Proyecto APT considerando dificultades, facilitadores y retroalimentación. </t>
  </si>
  <si>
    <t>Señala los ajustes que realizó o realizará y los justifica considerando las dificultades, facilitadores y retroalimentación del docente.</t>
  </si>
  <si>
    <t>Señala algunos de los ajustes que realizó o realizará y los justifica considerando las dificultades, facilitadores o retroalimentación del docente.</t>
  </si>
  <si>
    <t>Señala los ajustes que realizó o realizará, pero no los justifica.</t>
  </si>
  <si>
    <t>No incluye ajustes ni justifica por qué mantiene su plan inicial.</t>
  </si>
  <si>
    <t>2. Aplica una metodología que permite el logro de los objetivos propuestos, de acuerdo a los estándares de la disciplina.</t>
  </si>
  <si>
    <t xml:space="preserve">Aplica la metodología definida de acuerdo a los estándares de la disciplina, pero no se observa el cumplimiento de objetivos propuestos para el avance del proyecto. </t>
  </si>
  <si>
    <t xml:space="preserve">Aplica la metodología definida cumpliendo parcialmente con los estándares de la disciplina y con los objetivos propuestos para el avance del proyecto. </t>
  </si>
  <si>
    <t xml:space="preserve">Aplica la metodología definida sin cumplir los estándares de la disciplina ni los objetivos propuestos para el avance del proyecto. </t>
  </si>
  <si>
    <t xml:space="preserve">5. Utiliza reglas de redacción, ortografía (literal, puntual, acentual) y las normas para citas y referencias. </t>
  </si>
  <si>
    <t>8. Demuestra un trabajo en equipo en donde todos los miembros del equipo expresan con fluidez el conocimiento del tema expuesto y  participan de las actividades planificadas en el proyecto</t>
  </si>
  <si>
    <t>Demuestra un trabajo en equipo en donde todos los miembros del equipo expresan con fluidez el conocimiento del tema expuesto y  participan de las actividades planificadas en el proyecto</t>
  </si>
  <si>
    <t>Demuestra un trabajo en equipo de manera parcial, en donde todos los miembros del equipo expresan con fluidez el conocimiento del tema expuesto, pero no todos participan de manera equitativa de las actividades planificadas en el proyecto</t>
  </si>
  <si>
    <t>Demuestra de manera deficiente el trabajo en equipo en donde los integrantes expresan con poca fluidez y de manera imparcial el conocimiento del tema expuesto y no todos sus miembros participan de manera equitativa de las actividades planificadas en el proyecto</t>
  </si>
  <si>
    <t xml:space="preserve">No demuestran un trabajo en equipo, evidenciando en su presentación la nula colaboración de alguno de sus integrantes. </t>
  </si>
  <si>
    <t>X</t>
  </si>
  <si>
    <t xml:space="preserve">Aplica la metodología definida por el equipo de acuerdo a los estándares de la disciplina, alcanzando los objetivos propuestos para el avance del proyecto. </t>
  </si>
  <si>
    <t>3. Genera evidencias que dan cuenta del avance del Proyecto APT en relación a documentación, programación y almacenamiento de datos , de acuerdo a lo planificado por el equipo y que cumpla con estándares de desarrollo de la industria</t>
  </si>
  <si>
    <t>Presenta evidencias de avance que cumplen con lo planificado por el equipo en relación a documentación, programación y almacenamiento de datos, entregando evidencias que cumplan con estándares de desarrollo que actualmente se encuentran presentes en la industria</t>
  </si>
  <si>
    <t xml:space="preserve">Presenta evidencias de avance sin cumplir con lo planificado por el equipo en relación a documentación, programación y almacenamiento de datos, pero si sus entregas evidencian el cumplimiento de estándares de desarrollo que actualmente se encuentran presentes en la industria. </t>
  </si>
  <si>
    <t>Presenta evidencias de avance que cumplen con lo planificado por el equipo en relación a documentación, programación y almacenamiento de datos, entregando evidencias que no cumplen con estándares de desarrollo que actualmente se encuentran presentes en la industria</t>
  </si>
  <si>
    <t>Presenta evidencias de avance sin cumplir con lo planificado por el equipo en relación a documentación, programación y almacenamiento de datos y las evidencias no cumplen con estándares de desarrollo que actualmente se encuentran presentes en la industria</t>
  </si>
  <si>
    <t>4.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</si>
  <si>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</si>
  <si>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</si>
  <si>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</si>
  <si>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</si>
  <si>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6.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</si>
  <si>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</si>
  <si>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</si>
  <si>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</si>
  <si>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</si>
  <si>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7.- 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</si>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</sst>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39" x14ac:knownFonts="1">
    <font>
      <sz val="11"/>
      <color rgb="FF000000"/>
      <name val="Calibri"/>
    </font>
    <font>
      <b/>
      <sz val="11"/>
      <color rgb="FF000000"/>
      <name val="Calibri"/>
    </font>
    <font>
      <sz val="11"/>
      <name val="Calibri"/>
    </font>
    <font>
      <sz val="20"/>
      <color rgb="FF000000"/>
      <name val="Calibri"/>
    </font>
    <font>
      <b/>
      <sz val="14"/>
      <color rgb="FF000000"/>
      <name val="Calibri"/>
    </font>
    <font>
      <b/>
      <sz val="10"/>
      <color rgb="FF000000"/>
      <name val="Calibri"/>
    </font>
    <font>
      <sz val="9"/>
      <color rgb="FF000000"/>
      <name val="Calibri"/>
    </font>
    <font>
      <sz val="10"/>
      <color rgb="FF000000"/>
      <name val="Calibri"/>
    </font>
    <font>
      <sz val="14"/>
      <color rgb="FF000000"/>
      <name val="Calibri"/>
    </font>
    <font>
      <b/>
      <sz val="10"/>
      <color rgb="FFFFFFFF"/>
      <name val="Calibri"/>
      <family val="2"/>
    </font>
    <font>
      <b/>
      <sz val="10"/>
      <color rgb="FF000000"/>
      <name val="Calibri"/>
      <family val="2"/>
    </font>
    <font>
      <b/>
      <sz val="11"/>
      <color rgb="FFFFFFFF"/>
      <name val="Calibri"/>
      <family val="2"/>
    </font>
    <font>
      <sz val="10"/>
      <color rgb="FF000000"/>
      <name val="Calibri"/>
      <family val="2"/>
    </font>
    <font>
      <b/>
      <sz val="10"/>
      <color rgb="FF3B3838"/>
      <name val="Calibri"/>
      <family val="2"/>
    </font>
    <font>
      <sz val="11"/>
      <color rgb="FF000000"/>
      <name val="Calibri"/>
      <family val="2"/>
    </font>
    <font>
      <b/>
      <sz val="11"/>
      <color rgb="FF000000"/>
      <name val="Calibri"/>
      <family val="2"/>
    </font>
    <font>
      <sz val="9"/>
      <color rgb="FF000000"/>
      <name val="Calibri"/>
      <family val="2"/>
    </font>
    <font>
      <sz val="10"/>
      <color theme="1"/>
      <name val="Calibri"/>
      <family val="2"/>
    </font>
    <font>
      <sz val="11"/>
      <color rgb="FF000000"/>
      <name val="Calibri"/>
    </font>
    <font>
      <b/>
      <sz val="11"/>
      <color rgb="FF000000"/>
      <name val="Calibri"/>
    </font>
    <font>
      <sz val="11"/>
      <name val="Calibri"/>
    </font>
    <font>
      <sz val="20"/>
      <color rgb="FF000000"/>
      <name val="Calibri"/>
    </font>
    <font>
      <b/>
      <sz val="14"/>
      <color rgb="FF000000"/>
      <name val="Calibri"/>
    </font>
    <font>
      <b/>
      <sz val="10"/>
      <color rgb="FF000000"/>
      <name val="Calibri"/>
    </font>
    <font>
      <sz val="9"/>
      <color rgb="FF000000"/>
      <name val="Calibri"/>
    </font>
    <font>
      <sz val="10"/>
      <color rgb="FF000000"/>
      <name val="Calibri"/>
    </font>
    <font>
      <sz val="14"/>
      <color rgb="FF000000"/>
      <name val="Calibri"/>
    </font>
    <font>
      <b/>
      <sz val="10"/>
      <color rgb="FFFFFFFF"/>
      <name val="Calibri"/>
      <family val="2"/>
    </font>
    <font>
      <b/>
      <sz val="10"/>
      <color rgb="FF000000"/>
      <name val="Calibri"/>
      <family val="2"/>
    </font>
    <font>
      <b/>
      <sz val="11"/>
      <color rgb="FFFFFFFF"/>
      <name val="Calibri"/>
      <family val="2"/>
    </font>
    <font>
      <sz val="10"/>
      <color rgb="FF000000"/>
      <name val="Calibri"/>
      <family val="2"/>
    </font>
    <font>
      <b/>
      <sz val="10"/>
      <color rgb="FF3B3838"/>
      <name val="Calibri"/>
      <family val="2"/>
    </font>
    <font>
      <sz val="11"/>
      <color rgb="FF000000"/>
      <name val="Calibri"/>
      <family val="2"/>
    </font>
    <font>
      <b/>
      <sz val="11"/>
      <color rgb="FF000000"/>
      <name val="Calibri"/>
      <family val="2"/>
    </font>
    <font>
      <sz val="9"/>
      <color rgb="FF000000"/>
      <name val="Calibri"/>
      <family val="2"/>
    </font>
    <font>
      <sz val="10"/>
      <color theme="1"/>
      <name val="Calibri"/>
      <family val="2"/>
    </font>
    <font>
      <sz val="11"/>
      <color rgb="FF172B3A"/>
      <name val="Arial"/>
    </font>
    <font>
      <b/>
      <sz val="15"/>
      <color rgb="FF000000"/>
      <name val="Arial"/>
    </font>
    <font>
      <b/>
      <sz val="11"/>
      <color rgb="FFFFFFFF"/>
      <name val="Arial"/>
    </font>
  </fonts>
  <fills count="16">
    <fill>
      <patternFill patternType="none"/>
    </fill>
    <fill>
      <patternFill patternType="gray125"/>
    </fill>
    <fill>
      <patternFill patternType="solid">
        <fgColor rgb="FFECECEC"/>
        <bgColor rgb="FFECECEC"/>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262626"/>
        <bgColor indexed="64"/>
      </patternFill>
    </fill>
    <fill>
      <patternFill patternType="none"/>
    </fill>
    <fill>
      <patternFill patternType="gray125"/>
    </fill>
    <fill>
      <patternFill patternType="solid">
        <fgColor rgb="FFECECEC"/>
      </patternFill>
    </fill>
    <fill>
      <patternFill patternType="solid">
        <fgColor rgb="FFD9D9D9"/>
      </patternFill>
    </fill>
    <fill>
      <patternFill patternType="solid">
        <fgColor rgb="FFFEF2CB"/>
      </patternFill>
    </fill>
    <fill>
      <patternFill patternType="solid">
        <fgColor rgb="FFD8D8D8"/>
      </patternFill>
    </fill>
    <fill>
      <patternFill patternType="solid">
        <fgColor rgb="FF262626"/>
      </patternFill>
    </fill>
    <fill>
      <patternFill patternType="solid">
        <fgColor rgb="FF243746"/>
      </patternFill>
    </fill>
    <fill>
      <patternFill patternType="solid">
        <fgColor rgb="FFEEF3F7"/>
      </patternFill>
    </fill>
  </fills>
  <borders count="56">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right style="medium">
        <color rgb="FF7F7F7F"/>
      </right>
      <top style="medium">
        <color rgb="FF7F7F7F"/>
      </top>
      <bottom style="thin">
        <color indexed="64"/>
      </bottom>
      <diagonal/>
    </border>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right style="medium">
        <color rgb="FF7F7F7F"/>
      </right>
      <top style="medium">
        <color rgb="FF7F7F7F"/>
      </top>
      <bottom style="thin">
        <color indexed="64"/>
      </bottom>
      <diagonal/>
    </border>
  </borders>
  <cellStyleXfs count="2">
    <xf numFmtId="0" fontId="0" fillId="0" borderId="0"/>
    <xf numFmtId="0" fontId="18" fillId="7" borderId="28"/>
  </cellStyleXfs>
  <cellXfs count="131">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0" borderId="0" xfId="0" applyAlignment="1">
      <alignment horizontal="right" vertical="center"/>
    </xf>
    <xf numFmtId="164" fontId="0" fillId="2" borderId="1" xfId="0" applyNumberFormat="1" applyFill="1" applyBorder="1" applyAlignment="1">
      <alignment horizontal="center"/>
    </xf>
    <xf numFmtId="0" fontId="1" fillId="3" borderId="6" xfId="0" applyFont="1" applyFill="1" applyBorder="1" applyAlignment="1">
      <alignment vertical="center" wrapText="1"/>
    </xf>
    <xf numFmtId="0" fontId="1" fillId="3" borderId="7" xfId="0" applyFont="1" applyFill="1" applyBorder="1" applyAlignment="1">
      <alignment vertical="center" wrapText="1"/>
    </xf>
    <xf numFmtId="0" fontId="1" fillId="3" borderId="8" xfId="0" applyFont="1" applyFill="1" applyBorder="1" applyAlignment="1">
      <alignment vertical="center" wrapText="1"/>
    </xf>
    <xf numFmtId="0" fontId="1" fillId="3" borderId="10" xfId="0" applyFont="1" applyFill="1" applyBorder="1" applyAlignment="1">
      <alignment vertical="center" wrapText="1"/>
    </xf>
    <xf numFmtId="0" fontId="1" fillId="3" borderId="11" xfId="0" applyFont="1" applyFill="1" applyBorder="1" applyAlignment="1">
      <alignment vertical="center" wrapText="1"/>
    </xf>
    <xf numFmtId="0" fontId="1" fillId="3" borderId="12" xfId="0" applyFont="1" applyFill="1" applyBorder="1" applyAlignment="1">
      <alignment vertical="center" wrapText="1"/>
    </xf>
    <xf numFmtId="0" fontId="1" fillId="0" borderId="9" xfId="0" applyFont="1" applyBorder="1" applyAlignment="1">
      <alignment horizontal="left" vertical="center" wrapText="1"/>
    </xf>
    <xf numFmtId="0" fontId="1" fillId="0" borderId="13" xfId="0" applyFont="1" applyBorder="1" applyAlignment="1">
      <alignment horizontal="left" vertical="center" wrapText="1"/>
    </xf>
    <xf numFmtId="0" fontId="4" fillId="3" borderId="1" xfId="0" applyFont="1" applyFill="1" applyBorder="1" applyAlignment="1">
      <alignment horizontal="center" vertical="center"/>
    </xf>
    <xf numFmtId="0" fontId="7" fillId="0" borderId="1" xfId="0" applyFont="1" applyBorder="1" applyAlignment="1">
      <alignment horizontal="center" vertical="center"/>
    </xf>
    <xf numFmtId="0" fontId="0" fillId="5" borderId="1" xfId="0" applyFill="1" applyBorder="1"/>
    <xf numFmtId="164" fontId="8" fillId="0" borderId="1" xfId="0" applyNumberFormat="1" applyFont="1" applyBorder="1"/>
    <xf numFmtId="0" fontId="6" fillId="0" borderId="0" xfId="0" applyFont="1" applyAlignment="1">
      <alignment horizontal="right" vertical="center" wrapText="1"/>
    </xf>
    <xf numFmtId="164" fontId="8" fillId="0" borderId="0" xfId="0" applyNumberFormat="1" applyFont="1"/>
    <xf numFmtId="0" fontId="5" fillId="3" borderId="2" xfId="0" applyFont="1" applyFill="1" applyBorder="1" applyAlignment="1">
      <alignment horizontal="center" vertical="center"/>
    </xf>
    <xf numFmtId="0" fontId="11" fillId="6" borderId="22" xfId="0" applyFont="1" applyFill="1" applyBorder="1" applyAlignment="1">
      <alignment horizontal="center" vertical="center" wrapText="1"/>
    </xf>
    <xf numFmtId="0" fontId="9" fillId="6" borderId="22" xfId="0" applyFont="1" applyFill="1" applyBorder="1" applyAlignment="1">
      <alignment horizontal="center" vertical="center" wrapText="1"/>
    </xf>
    <xf numFmtId="0" fontId="13" fillId="0" borderId="23" xfId="0" applyFont="1" applyBorder="1" applyAlignment="1">
      <alignment horizontal="center" vertical="center" wrapText="1"/>
    </xf>
    <xf numFmtId="0" fontId="12" fillId="0" borderId="25" xfId="0" applyFont="1" applyBorder="1" applyAlignment="1">
      <alignment horizontal="justify" vertical="center" wrapText="1"/>
    </xf>
    <xf numFmtId="0" fontId="14" fillId="0" borderId="4" xfId="0" applyFont="1" applyBorder="1" applyAlignment="1">
      <alignment horizontal="left"/>
    </xf>
    <xf numFmtId="0" fontId="7" fillId="0" borderId="15" xfId="0" applyFont="1" applyBorder="1" applyAlignment="1">
      <alignment horizontal="left" vertical="center"/>
    </xf>
    <xf numFmtId="0" fontId="6" fillId="0" borderId="3" xfId="0" applyFont="1" applyBorder="1" applyAlignment="1">
      <alignment horizontal="right" vertical="center" wrapText="1"/>
    </xf>
    <xf numFmtId="0" fontId="6" fillId="0" borderId="25" xfId="0" applyFont="1" applyBorder="1" applyAlignment="1">
      <alignment horizontal="left" vertical="center" wrapText="1"/>
    </xf>
    <xf numFmtId="0" fontId="15" fillId="3"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10" fillId="0" borderId="23" xfId="0" applyFont="1" applyBorder="1" applyAlignment="1">
      <alignment horizontal="center" vertical="center" wrapText="1"/>
    </xf>
    <xf numFmtId="0" fontId="14" fillId="2" borderId="1" xfId="0" applyFont="1" applyFill="1" applyBorder="1" applyAlignment="1">
      <alignment horizontal="center" vertical="center" wrapText="1"/>
    </xf>
    <xf numFmtId="0" fontId="14" fillId="0" borderId="0" xfId="0" applyFont="1" applyAlignment="1">
      <alignment wrapText="1"/>
    </xf>
    <xf numFmtId="0" fontId="16" fillId="0" borderId="0" xfId="0" applyFont="1" applyAlignment="1">
      <alignment horizontal="left" vertical="center" wrapText="1"/>
    </xf>
    <xf numFmtId="0" fontId="10" fillId="0" borderId="27" xfId="0" applyFont="1" applyBorder="1" applyAlignment="1">
      <alignment horizontal="center" vertical="center" wrapText="1"/>
    </xf>
    <xf numFmtId="0" fontId="3" fillId="4" borderId="2" xfId="0" applyFont="1" applyFill="1" applyBorder="1" applyAlignment="1">
      <alignment horizontal="center" vertical="center" textRotation="255"/>
    </xf>
    <xf numFmtId="0" fontId="2" fillId="0" borderId="16" xfId="0" applyFont="1" applyBorder="1"/>
    <xf numFmtId="0" fontId="2" fillId="0" borderId="26" xfId="0" applyFont="1" applyBorder="1"/>
    <xf numFmtId="0" fontId="2" fillId="0" borderId="3" xfId="0" applyFont="1" applyBorder="1"/>
    <xf numFmtId="0" fontId="5" fillId="3" borderId="2" xfId="0" applyFont="1" applyFill="1" applyBorder="1" applyAlignment="1">
      <alignment horizontal="center" vertical="center"/>
    </xf>
    <xf numFmtId="0" fontId="5" fillId="3" borderId="4" xfId="0" applyFont="1" applyFill="1" applyBorder="1" applyAlignment="1">
      <alignment horizontal="center" vertical="center"/>
    </xf>
    <xf numFmtId="0" fontId="2" fillId="0" borderId="15" xfId="0" applyFont="1" applyBorder="1"/>
    <xf numFmtId="0" fontId="2" fillId="0" borderId="14" xfId="0" applyFont="1" applyBorder="1"/>
    <xf numFmtId="0" fontId="10" fillId="3" borderId="4" xfId="0" applyFont="1" applyFill="1" applyBorder="1" applyAlignment="1">
      <alignment horizontal="center" vertical="center"/>
    </xf>
    <xf numFmtId="0" fontId="9" fillId="6" borderId="17" xfId="0" applyFont="1" applyFill="1" applyBorder="1" applyAlignment="1">
      <alignment horizontal="center" vertical="center" wrapText="1"/>
    </xf>
    <xf numFmtId="0" fontId="9" fillId="6" borderId="18" xfId="0" applyFont="1" applyFill="1" applyBorder="1" applyAlignment="1">
      <alignment horizontal="center" vertical="center" wrapText="1"/>
    </xf>
    <xf numFmtId="0" fontId="9" fillId="6" borderId="19" xfId="0" applyFont="1" applyFill="1" applyBorder="1" applyAlignment="1">
      <alignment horizontal="center" vertical="center" wrapText="1"/>
    </xf>
    <xf numFmtId="0" fontId="9" fillId="6" borderId="24" xfId="0" applyFont="1" applyFill="1" applyBorder="1" applyAlignment="1">
      <alignment horizontal="center" vertical="center" wrapText="1"/>
    </xf>
    <xf numFmtId="0" fontId="9" fillId="6" borderId="21" xfId="0" applyFont="1" applyFill="1" applyBorder="1" applyAlignment="1">
      <alignment horizontal="center" vertical="center" wrapText="1"/>
    </xf>
    <xf numFmtId="0" fontId="9" fillId="6" borderId="20" xfId="0" applyFont="1" applyFill="1" applyBorder="1" applyAlignment="1">
      <alignment horizontal="center" vertical="center" wrapText="1"/>
    </xf>
    <xf numFmtId="0" fontId="11" fillId="6" borderId="17" xfId="0" applyFont="1" applyFill="1" applyBorder="1" applyAlignment="1">
      <alignment horizontal="center" vertical="center" wrapText="1"/>
    </xf>
    <xf numFmtId="0" fontId="1" fillId="3" borderId="5" xfId="0" applyFont="1" applyFill="1" applyBorder="1" applyAlignment="1">
      <alignment horizontal="left" vertical="center" wrapText="1"/>
    </xf>
    <xf numFmtId="0" fontId="2" fillId="0" borderId="9" xfId="0" applyFont="1" applyBorder="1"/>
    <xf numFmtId="0" fontId="11" fillId="6" borderId="18" xfId="0" applyFont="1" applyFill="1" applyBorder="1" applyAlignment="1">
      <alignment horizontal="center" vertical="center" wrapText="1"/>
    </xf>
    <xf numFmtId="9" fontId="9" fillId="6" borderId="22" xfId="0" applyNumberFormat="1" applyFont="1" applyFill="1" applyBorder="1" applyAlignment="1">
      <alignment horizontal="center" vertical="center" wrapText="1"/>
    </xf>
    <xf numFmtId="0" fontId="13" fillId="0" borderId="27" xfId="0" applyFont="1" applyBorder="1" applyAlignment="1">
      <alignment horizontal="center" vertical="center" wrapText="1"/>
    </xf>
    <xf numFmtId="0" fontId="17" fillId="0" borderId="25" xfId="0" applyFont="1" applyBorder="1" applyAlignment="1">
      <alignment horizontal="justify" vertical="center" wrapText="1"/>
    </xf>
    <xf numFmtId="0" fontId="12" fillId="0" borderId="25" xfId="0" applyFont="1" applyFill="1" applyBorder="1" applyAlignment="1">
      <alignment horizontal="justify" vertical="center" wrapText="1"/>
    </xf>
    <xf numFmtId="0" fontId="17" fillId="0" borderId="25" xfId="0" applyFont="1" applyFill="1" applyBorder="1" applyAlignment="1">
      <alignment horizontal="justify" vertical="center" wrapText="1"/>
    </xf>
    <xf numFmtId="0" fontId="18" fillId="7" borderId="28" xfId="1"/>
    <xf numFmtId="165" fontId="18" fillId="7" borderId="28" xfId="1" applyNumberFormat="1"/>
    <xf numFmtId="9" fontId="18" fillId="9" borderId="29" xfId="1" applyNumberFormat="1" applyFill="1" applyBorder="1" applyAlignment="1">
      <alignment horizontal="center" vertical="center" wrapText="1"/>
    </xf>
    <xf numFmtId="0" fontId="19" fillId="7" borderId="28" xfId="1" applyFont="1"/>
    <xf numFmtId="0" fontId="18" fillId="7" borderId="28" xfId="1" applyAlignment="1">
      <alignment horizontal="right" vertical="center"/>
    </xf>
    <xf numFmtId="165" fontId="18" fillId="9" borderId="29" xfId="1" applyNumberFormat="1" applyFill="1" applyBorder="1" applyAlignment="1">
      <alignment horizontal="center"/>
    </xf>
    <xf numFmtId="0" fontId="19" fillId="10" borderId="34" xfId="1" applyFont="1" applyFill="1" applyBorder="1" applyAlignment="1">
      <alignment vertical="center" wrapText="1"/>
    </xf>
    <xf numFmtId="0" fontId="19" fillId="10" borderId="35" xfId="1" applyFont="1" applyFill="1" applyBorder="1" applyAlignment="1">
      <alignment vertical="center" wrapText="1"/>
    </xf>
    <xf numFmtId="0" fontId="19" fillId="10" borderId="36" xfId="1" applyFont="1" applyFill="1" applyBorder="1" applyAlignment="1">
      <alignment vertical="center" wrapText="1"/>
    </xf>
    <xf numFmtId="0" fontId="19" fillId="10" borderId="38" xfId="1" applyFont="1" applyFill="1" applyBorder="1" applyAlignment="1">
      <alignment vertical="center" wrapText="1"/>
    </xf>
    <xf numFmtId="0" fontId="19" fillId="10" borderId="39" xfId="1" applyFont="1" applyFill="1" applyBorder="1" applyAlignment="1">
      <alignment vertical="center" wrapText="1"/>
    </xf>
    <xf numFmtId="0" fontId="19" fillId="10" borderId="40" xfId="1" applyFont="1" applyFill="1" applyBorder="1" applyAlignment="1">
      <alignment vertical="center" wrapText="1"/>
    </xf>
    <xf numFmtId="0" fontId="19" fillId="7" borderId="37" xfId="1" applyFont="1" applyBorder="1" applyAlignment="1">
      <alignment horizontal="left" vertical="center" wrapText="1"/>
    </xf>
    <xf numFmtId="0" fontId="19" fillId="7" borderId="41" xfId="1" applyFont="1" applyBorder="1" applyAlignment="1">
      <alignment horizontal="left" vertical="center" wrapText="1"/>
    </xf>
    <xf numFmtId="0" fontId="22" fillId="10" borderId="29" xfId="1" applyFont="1" applyFill="1" applyBorder="1" applyAlignment="1">
      <alignment horizontal="center" vertical="center"/>
    </xf>
    <xf numFmtId="0" fontId="25" fillId="7" borderId="29" xfId="1" applyFont="1" applyBorder="1" applyAlignment="1">
      <alignment horizontal="center" vertical="center"/>
    </xf>
    <xf numFmtId="0" fontId="18" fillId="12" borderId="29" xfId="1" applyFill="1" applyBorder="1"/>
    <xf numFmtId="165" fontId="26" fillId="7" borderId="29" xfId="1" applyNumberFormat="1" applyFont="1" applyBorder="1"/>
    <xf numFmtId="0" fontId="24" fillId="7" borderId="28" xfId="1" applyFont="1" applyAlignment="1">
      <alignment horizontal="right" vertical="center" wrapText="1"/>
    </xf>
    <xf numFmtId="165" fontId="26" fillId="7" borderId="28" xfId="1" applyNumberFormat="1" applyFont="1"/>
    <xf numFmtId="0" fontId="23" fillId="10" borderId="30" xfId="1" applyFont="1" applyFill="1" applyBorder="1" applyAlignment="1">
      <alignment horizontal="center" vertical="center"/>
    </xf>
    <xf numFmtId="0" fontId="29" fillId="13" borderId="50" xfId="1" applyFont="1" applyFill="1" applyBorder="1" applyAlignment="1">
      <alignment horizontal="center" vertical="center" wrapText="1"/>
    </xf>
    <xf numFmtId="0" fontId="27" fillId="13" borderId="50" xfId="1" applyFont="1" applyFill="1" applyBorder="1" applyAlignment="1">
      <alignment horizontal="center" vertical="center" wrapText="1"/>
    </xf>
    <xf numFmtId="0" fontId="31" fillId="7" borderId="51" xfId="1" applyFont="1" applyBorder="1" applyAlignment="1">
      <alignment horizontal="center" vertical="center" wrapText="1"/>
    </xf>
    <xf numFmtId="0" fontId="30" fillId="7" borderId="53" xfId="1" applyFont="1" applyBorder="1" applyAlignment="1">
      <alignment horizontal="justify" vertical="center" wrapText="1"/>
    </xf>
    <xf numFmtId="0" fontId="32" fillId="7" borderId="32" xfId="1" applyFont="1" applyBorder="1" applyAlignment="1">
      <alignment horizontal="left"/>
    </xf>
    <xf numFmtId="0" fontId="25" fillId="7" borderId="43" xfId="1" applyFont="1" applyBorder="1" applyAlignment="1">
      <alignment horizontal="left" vertical="center"/>
    </xf>
    <xf numFmtId="0" fontId="24" fillId="7" borderId="31" xfId="1" applyFont="1" applyBorder="1" applyAlignment="1">
      <alignment horizontal="right" vertical="center" wrapText="1"/>
    </xf>
    <xf numFmtId="0" fontId="24" fillId="7" borderId="53" xfId="1" applyFont="1" applyBorder="1" applyAlignment="1">
      <alignment horizontal="left" vertical="center" wrapText="1"/>
    </xf>
    <xf numFmtId="0" fontId="33" fillId="10" borderId="39" xfId="1" applyFont="1" applyFill="1" applyBorder="1" applyAlignment="1">
      <alignment vertical="center" wrapText="1"/>
    </xf>
    <xf numFmtId="0" fontId="24" fillId="7" borderId="32" xfId="1" applyFont="1" applyBorder="1" applyAlignment="1">
      <alignment horizontal="right" vertical="center" wrapText="1"/>
    </xf>
    <xf numFmtId="0" fontId="26" fillId="7" borderId="30" xfId="1" applyFont="1" applyBorder="1"/>
    <xf numFmtId="0" fontId="28" fillId="7" borderId="51" xfId="1" applyFont="1" applyBorder="1" applyAlignment="1">
      <alignment horizontal="center" vertical="center" wrapText="1"/>
    </xf>
    <xf numFmtId="0" fontId="32" fillId="9" borderId="29" xfId="1" applyFont="1" applyFill="1" applyBorder="1" applyAlignment="1">
      <alignment horizontal="center" vertical="center" wrapText="1"/>
    </xf>
    <xf numFmtId="0" fontId="32" fillId="7" borderId="28" xfId="1" applyFont="1" applyAlignment="1">
      <alignment wrapText="1"/>
    </xf>
    <xf numFmtId="0" fontId="34" fillId="7" borderId="28" xfId="1" applyFont="1" applyAlignment="1">
      <alignment horizontal="left" vertical="center" wrapText="1"/>
    </xf>
    <xf numFmtId="0" fontId="28" fillId="7" borderId="55" xfId="1" applyFont="1" applyBorder="1" applyAlignment="1">
      <alignment horizontal="center" vertical="center" wrapText="1"/>
    </xf>
    <xf numFmtId="0" fontId="21" fillId="11" borderId="30" xfId="1" applyFont="1" applyFill="1" applyBorder="1" applyAlignment="1">
      <alignment horizontal="center" vertical="center"/>
    </xf>
    <xf numFmtId="0" fontId="20" fillId="7" borderId="44" xfId="1" applyFont="1" applyBorder="1"/>
    <xf numFmtId="0" fontId="20" fillId="7" borderId="54" xfId="1" applyFont="1" applyBorder="1"/>
    <xf numFmtId="0" fontId="20" fillId="7" borderId="31" xfId="1" applyFont="1" applyBorder="1"/>
    <xf numFmtId="0" fontId="23" fillId="10" borderId="30" xfId="1" applyFont="1" applyFill="1" applyBorder="1" applyAlignment="1">
      <alignment horizontal="center" vertical="center"/>
    </xf>
    <xf numFmtId="0" fontId="23" fillId="10" borderId="32" xfId="1" applyFont="1" applyFill="1" applyBorder="1" applyAlignment="1">
      <alignment horizontal="center" vertical="center"/>
    </xf>
    <xf numFmtId="0" fontId="20" fillId="7" borderId="43" xfId="1" applyFont="1" applyBorder="1"/>
    <xf numFmtId="0" fontId="20" fillId="7" borderId="42" xfId="1" applyFont="1" applyBorder="1"/>
    <xf numFmtId="0" fontId="28" fillId="10" borderId="32" xfId="1" applyFont="1" applyFill="1" applyBorder="1" applyAlignment="1">
      <alignment horizontal="center" vertical="center"/>
    </xf>
    <xf numFmtId="0" fontId="27" fillId="13" borderId="45" xfId="1" applyFont="1" applyFill="1" applyBorder="1" applyAlignment="1">
      <alignment horizontal="center" vertical="center" wrapText="1"/>
    </xf>
    <xf numFmtId="0" fontId="27" fillId="13" borderId="46" xfId="1" applyFont="1" applyFill="1" applyBorder="1" applyAlignment="1">
      <alignment horizontal="center" vertical="center" wrapText="1"/>
    </xf>
    <xf numFmtId="0" fontId="27" fillId="13" borderId="47" xfId="1" applyFont="1" applyFill="1" applyBorder="1" applyAlignment="1">
      <alignment horizontal="center" vertical="center" wrapText="1"/>
    </xf>
    <xf numFmtId="0" fontId="27" fillId="13" borderId="52" xfId="1" applyFont="1" applyFill="1" applyBorder="1" applyAlignment="1">
      <alignment horizontal="center" vertical="center" wrapText="1"/>
    </xf>
    <xf numFmtId="0" fontId="27" fillId="13" borderId="49" xfId="1" applyFont="1" applyFill="1" applyBorder="1" applyAlignment="1">
      <alignment horizontal="center" vertical="center" wrapText="1"/>
    </xf>
    <xf numFmtId="0" fontId="27" fillId="13" borderId="48" xfId="1" applyFont="1" applyFill="1" applyBorder="1" applyAlignment="1">
      <alignment horizontal="center" vertical="center" wrapText="1"/>
    </xf>
    <xf numFmtId="0" fontId="29" fillId="13" borderId="45" xfId="1" applyFont="1" applyFill="1" applyBorder="1" applyAlignment="1">
      <alignment horizontal="center" vertical="center" wrapText="1"/>
    </xf>
    <xf numFmtId="0" fontId="19" fillId="10" borderId="33" xfId="1" applyFont="1" applyFill="1" applyBorder="1" applyAlignment="1">
      <alignment horizontal="left" vertical="center" wrapText="1"/>
    </xf>
    <xf numFmtId="0" fontId="20" fillId="7" borderId="37" xfId="1" applyFont="1" applyBorder="1"/>
    <xf numFmtId="0" fontId="29" fillId="13" borderId="46" xfId="1" applyFont="1" applyFill="1" applyBorder="1" applyAlignment="1">
      <alignment horizontal="center" vertical="center" wrapText="1"/>
    </xf>
    <xf numFmtId="9" fontId="27" fillId="13" borderId="50" xfId="1" applyNumberFormat="1" applyFont="1" applyFill="1" applyBorder="1" applyAlignment="1">
      <alignment horizontal="center" vertical="center" wrapText="1"/>
    </xf>
    <xf numFmtId="0" fontId="31" fillId="7" borderId="55" xfId="1" applyFont="1" applyBorder="1" applyAlignment="1">
      <alignment horizontal="center" vertical="center" wrapText="1"/>
    </xf>
    <xf numFmtId="0" fontId="35" fillId="7" borderId="53" xfId="1" applyFont="1" applyBorder="1" applyAlignment="1">
      <alignment horizontal="justify" vertical="center" wrapText="1"/>
    </xf>
    <xf numFmtId="0" fontId="30" fillId="7" borderId="53" xfId="1" applyFont="1" applyFill="1" applyBorder="1" applyAlignment="1">
      <alignment horizontal="justify" vertical="center" wrapText="1"/>
    </xf>
    <xf numFmtId="0" fontId="35" fillId="7" borderId="53" xfId="1" applyFont="1" applyFill="1" applyBorder="1" applyAlignment="1">
      <alignment horizontal="justify" vertical="center" wrapText="1"/>
    </xf>
    <xf numFmtId="0" fontId="36" fillId="7" borderId="28" xfId="1" applyNumberFormat="1" applyFont="1" applyFill="1" applyBorder="1"/>
    <xf numFmtId="0" fontId="37" fillId="7" borderId="28" xfId="1" applyNumberFormat="1" applyFont="1" applyFill="1" applyBorder="1"/>
    <xf numFmtId="0" fontId="36" fillId="14" borderId="28" xfId="1" applyNumberFormat="1" applyFont="1" applyFill="1" applyBorder="1"/>
    <xf numFmtId="0" fontId="38" fillId="14" borderId="28" xfId="1" applyNumberFormat="1" applyFont="1" applyFill="1" applyBorder="1"/>
    <xf numFmtId="0" fontId="38" fillId="14" borderId="28" xfId="1" applyNumberFormat="1" applyFont="1" applyFill="1" applyBorder="1" applyAlignment="1">
      <alignment wrapText="1"/>
    </xf>
    <xf numFmtId="0" fontId="36" fillId="7" borderId="28" xfId="1" applyNumberFormat="1" applyFont="1" applyFill="1" applyBorder="1" applyAlignment="1">
      <alignment wrapText="1"/>
    </xf>
    <xf numFmtId="0" fontId="38" fillId="14" borderId="28" xfId="1" applyNumberFormat="1" applyFont="1" applyFill="1" applyBorder="1" applyAlignment="1">
      <alignment vertical="center" wrapText="1"/>
    </xf>
    <xf numFmtId="0" fontId="36" fillId="7" borderId="28" xfId="1" applyNumberFormat="1" applyFont="1" applyFill="1" applyBorder="1" applyAlignment="1">
      <alignment vertical="center" wrapText="1"/>
    </xf>
    <xf numFmtId="0" fontId="36" fillId="15" borderId="28" xfId="1" applyNumberFormat="1" applyFont="1" applyFill="1" applyBorder="1" applyAlignment="1">
      <alignment vertical="center" wrapText="1"/>
    </xf>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 Id="rId11" Type="http://schemas.openxmlformats.org/officeDocument/2006/relationships/worksheet" Target="worksheets/sheet13.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895"/>
  <sheetViews>
    <sheetView topLeftCell="A8" zoomScaleNormal="100" workbookViewId="0">
      <selection activeCell="E16" sqref="E16"/>
    </sheetView>
  </sheetViews>
  <sheetFormatPr baseColWidth="10" defaultColWidth="14.44140625" defaultRowHeight="15" customHeight="1" outlineLevelRow="1" x14ac:dyDescent="0.3"/>
  <cols>
    <col min="1" max="1" width="10.6640625" customWidth="1"/>
    <col min="2" max="2" width="66.88671875" customWidth="1"/>
    <col min="3" max="3" width="22" bestFit="1" customWidth="1"/>
    <col min="4" max="4" width="11.33203125" customWidth="1"/>
    <col min="5" max="7" width="11.6640625" customWidth="1"/>
    <col min="8" max="8" width="7.6640625" customWidth="1"/>
    <col min="9" max="9" width="11.6640625" customWidth="1"/>
    <col min="10" max="10" width="7.6640625" customWidth="1"/>
    <col min="11" max="11" width="11.6640625" customWidth="1"/>
    <col min="12" max="24" width="10.6640625" customWidth="1"/>
  </cols>
  <sheetData>
    <row r="2" spans="1:11" ht="14.4" x14ac:dyDescent="0.3">
      <c r="C2" s="2">
        <v>1</v>
      </c>
    </row>
    <row r="3" spans="1:11" ht="14.4" x14ac:dyDescent="0.3">
      <c r="B3" s="3" t="s">
        <v>2</v>
      </c>
      <c r="C3" s="33" t="s">
        <v>9</v>
      </c>
    </row>
    <row r="4" spans="1:11" ht="14.4" x14ac:dyDescent="0.3">
      <c r="A4" s="4">
        <v>1</v>
      </c>
      <c r="B4" t="str" s="25">
        <v>Ociel Escobar</v>
      </c>
      <c r="C4" t="str" s="5">
        <f>IF(B4="","",IF(EVALUACION2!$C$22="","",EVALUACION2!$C$22))</f>
      </c>
      <c r="G4" s="1"/>
    </row>
    <row r="5" spans="1:11" ht="14.4" x14ac:dyDescent="0.3">
      <c r="A5" s="4">
        <v>2</v>
      </c>
      <c r="B5" t="str" s="25">
        <v>Sebastian Torres</v>
      </c>
      <c r="C5" t="str" s="5">
        <f>IF(B5="","",IF(EVALUACION2!$C$22="","",EVALUACION2!$C$22))</f>
      </c>
      <c r="G5" s="1"/>
    </row>
    <row r="6" spans="1:11" ht="14.4" x14ac:dyDescent="0.3">
      <c r="A6" s="4">
        <v>3</v>
      </c>
      <c r="B6" s="25"/>
      <c r="C6" t="str" s="5">
        <f>IF(B6="","",IF(EVALUACION2!$C$22="","",EVALUACION2!$C$22))</f>
      </c>
      <c r="G6" s="1"/>
    </row>
    <row r="8">
      <c r="B8" t="str">
        <v>Evaluación pendiente del docente</v>
      </c>
    </row>
    <row r="9">
      <c r="B9" t="str">
        <v>Proyecto PID R2 · Informática · 007V · Ernesto Velasquez</v>
      </c>
    </row>
    <row r="11" spans="1:11" ht="18" outlineLevel="1" x14ac:dyDescent="0.3">
      <c r="A11" s="37" t="s">
        <v>9</v>
      </c>
      <c r="B11" s="14"/>
      <c r="C11" s="41" t="s">
        <v>10</v>
      </c>
      <c r="D11" s="42" t="s">
        <v>11</v>
      </c>
      <c r="E11" s="44"/>
      <c r="F11" s="44"/>
      <c r="G11" s="44"/>
      <c r="H11" s="44"/>
      <c r="I11" s="44"/>
      <c r="J11" s="44"/>
      <c r="K11" s="43"/>
    </row>
    <row r="12" spans="1:11" ht="14.4" outlineLevel="1" x14ac:dyDescent="0.3">
      <c r="A12" s="38"/>
      <c r="B12" s="20" t="s">
        <v>12</v>
      </c>
      <c r="C12" s="40"/>
      <c r="D12" s="42" t="s">
        <v>5</v>
      </c>
      <c r="E12" s="43"/>
      <c r="F12" s="42" t="s">
        <v>6</v>
      </c>
      <c r="G12" s="43"/>
      <c r="H12" s="45" t="s">
        <v>23</v>
      </c>
      <c r="I12" s="43"/>
      <c r="J12" s="42" t="s">
        <v>7</v>
      </c>
      <c r="K12" s="43"/>
    </row>
    <row r="13" spans="1:11" ht="24" outlineLevel="1" x14ac:dyDescent="0.3">
      <c r="A13" s="39"/>
      <c r="B13" s="28" t="str">
        <f>RUBRICA!A4</f>
        <v xml:space="preserve">1. Propone ajustes al Proyecto APT considerando dificultades, facilitadores y retroalimentación. </v>
      </c>
      <c r="C13" s="26"/>
      <c r="D13" t="str" s="15">
        <f t="shared" ref="D13:D17" si="0">IF($C13=CL,"X","")</f>
      </c>
      <c r="E13" t="str" s="15">
        <f>IF(D13="X",100*0.1,"")</f>
      </c>
      <c r="F13" t="str" s="15">
        <f t="shared" ref="F13:F17" si="1">IF($C13=L,"X","")</f>
      </c>
      <c r="G13" t="str" s="15">
        <f>IF(F13="X",60*0.1,"")</f>
      </c>
      <c r="H13" t="str" s="15">
        <f t="shared" ref="H13:H17" si="2">IF($C13=ML,"X","")</f>
      </c>
      <c r="I13" t="str" s="15">
        <f>IF(H13="X",30*0.1,"")</f>
      </c>
      <c r="J13" t="str" s="15">
        <f t="shared" ref="J13:J17" si="3">IF($C13=NL,"X","")</f>
      </c>
      <c r="K13" t="str" s="15">
        <f t="shared" ref="K13:K17" si="4">IF(J13="X",0*0.1,"")</f>
      </c>
    </row>
    <row r="14" spans="1:11" ht="26.4" customHeight="1" outlineLevel="1" x14ac:dyDescent="0.3">
      <c r="A14" s="39"/>
      <c r="B14" s="28" t="str">
        <f>RUBRICA!A5</f>
        <v>2. Aplica una metodología que permite el logro de los objetivos propuestos, de acuerdo a los estándares de la disciplina.</v>
      </c>
      <c r="C14" s="26"/>
      <c r="D14" t="str" s="15">
        <f t="shared" si="0">IF($C14=CL,"X","")</f>
      </c>
      <c r="E14" t="str" s="15">
        <f>IF(D14="X",100*0.1,"")</f>
      </c>
      <c r="F14" t="str" s="15">
        <f t="shared" si="1">IF($C14=L,"X","")</f>
      </c>
      <c r="G14" t="str" s="15">
        <f>IF(F14="X",60*0.1,"")</f>
      </c>
      <c r="H14" t="str" s="15">
        <f t="shared" si="2">IF($C14=ML,"X","")</f>
      </c>
      <c r="I14" t="str" s="15">
        <f>IF(H14="X",30*0.1,"")</f>
      </c>
      <c r="J14" t="str" s="15">
        <f t="shared" si="3">IF($C14=NL,"X","")</f>
      </c>
      <c r="K14" t="str" s="15">
        <f t="shared" si="4">IF(J14="X",0*0.1,"")</f>
      </c>
    </row>
    <row r="15" spans="1:11" ht="36" outlineLevel="1" x14ac:dyDescent="0.3">
      <c r="A15" s="39"/>
      <c r="B15" s="28" t="str">
        <f>RUBRICA!A6</f>
        <v>3. Genera evidencias que dan cuenta del avance del Proyecto APT en relación a documentación, programación y almacenamiento de datos , de acuerdo a lo planificado por el equipo y que cumpla con estándares de desarrollo de la industria</v>
      </c>
      <c r="C15" s="26"/>
      <c r="D15" t="str" s="15">
        <f t="shared" si="0">IF($C15=CL,"X","")</f>
      </c>
      <c r="E15" t="str" s="15">
        <f>IF(D15="X",100*0.25,"")</f>
      </c>
      <c r="F15" t="str" s="15">
        <f t="shared" si="1">IF($C15=L,"X","")</f>
      </c>
      <c r="G15" t="str" s="15">
        <f>IF(F15="X",60*0.25,"")</f>
      </c>
      <c r="H15" t="str" s="15">
        <f t="shared" si="2">IF($C15=ML,"X","")</f>
      </c>
      <c r="I15" t="str" s="15">
        <f>IF(H15="X",30*0.25,"")</f>
      </c>
      <c r="J15" t="str" s="15">
        <f t="shared" si="3">IF($C15=NL,"X","")</f>
      </c>
      <c r="K15" t="str" s="15">
        <f t="shared" si="4">IF(J15="X",0*0.25,"")</f>
      </c>
    </row>
    <row r="16" spans="1:11" ht="24" outlineLevel="1" x14ac:dyDescent="0.3">
      <c r="A16" s="39"/>
      <c r="B16" s="28" t="str">
        <f>RUBRICA!A7</f>
        <v>4. Utiliza de manera precisa el lenguaje técnico en los entregables de acuerdo con lo requerido por la disciplina.</v>
      </c>
      <c r="C16" s="26"/>
      <c r="D16" t="str" s="15">
        <f t="shared" si="0">IF($C16=CL,"X","")</f>
      </c>
      <c r="E16" t="str" s="15">
        <f>IF(D16="X",100*0.05,"")</f>
      </c>
      <c r="F16" t="str" s="15">
        <f t="shared" si="1">IF($C16=L,"X","")</f>
      </c>
      <c r="G16" t="str" s="15">
        <f>IF(F16="X",60*0.05,"")</f>
      </c>
      <c r="H16" t="str" s="15">
        <f t="shared" si="2">IF($C16=ML,"X","")</f>
      </c>
      <c r="I16" t="str" s="15">
        <f>IF(H16="X",30*0.05,"")</f>
      </c>
      <c r="J16" t="str" s="15">
        <f t="shared" si="3">IF($C16=NL,"X","")</f>
      </c>
      <c r="K16" t="str" s="15">
        <f t="shared" si="4">IF(J16="X",0*0.05,"")</f>
      </c>
    </row>
    <row r="17" spans="1:11" ht="24" outlineLevel="1" x14ac:dyDescent="0.3">
      <c r="A17" s="39"/>
      <c r="B17" s="28" t="str">
        <f>RUBRICA!A8</f>
        <v xml:space="preserve">5. Utiliza reglas de redacción, ortografía (literal, puntual, acentual) y las normas para citas y referencias. </v>
      </c>
      <c r="C17" s="26"/>
      <c r="D17" t="str" s="15">
        <f t="shared" si="0">IF($C17=CL,"X","")</f>
      </c>
      <c r="E17" t="str" s="15">
        <f>IF(D17="X",100*0.05,"")</f>
      </c>
      <c r="F17" t="str" s="15">
        <f t="shared" si="1">IF($C17=L,"X","")</f>
      </c>
      <c r="G17" t="str" s="15">
        <f>IF(F17="X",60*0.05,"")</f>
      </c>
      <c r="H17" t="str" s="15">
        <f t="shared" si="2">IF($C17=ML,"X","")</f>
      </c>
      <c r="I17" t="str" s="15">
        <f>IF(H17="X",30*0.05,"")</f>
      </c>
      <c r="J17" t="str" s="15">
        <f t="shared" si="3">IF($C17=NL,"X","")</f>
      </c>
      <c r="K17" t="str" s="15">
        <f t="shared" si="4">IF(J17="X",0*0.05,"")</f>
      </c>
    </row>
    <row r="18" spans="1:11" ht="24" outlineLevel="1" x14ac:dyDescent="0.3">
      <c r="A18" s="39"/>
      <c r="B18" s="28" t="str">
        <f>RUBRICA!A9</f>
        <v>6. Entrega la documentación y evidencias requerida por la asignatura de acuerdo a la estrucutra y nombres solicitados, guardando todas las evidencias de avances en Git</v>
      </c>
      <c r="C18" s="26"/>
      <c r="D18" t="str" s="15">
        <f>IF($C18=CL,"X","")</f>
      </c>
      <c r="E18" t="str" s="15">
        <f>IF(D18="X",100*0.2,"")</f>
      </c>
      <c r="F18" t="str" s="15">
        <f>IF($C18=L,"X","")</f>
      </c>
      <c r="G18" t="str" s="15">
        <f>IF(F18="X",60*0.2,"")</f>
      </c>
      <c r="H18" t="str" s="15">
        <f>IF($C18=ML,"X","")</f>
      </c>
      <c r="I18" t="str" s="15">
        <f>IF(H18="X",30*0.2,"")</f>
      </c>
      <c r="J18" t="str" s="15">
        <f>IF($C18=NL,"X","")</f>
      </c>
      <c r="K18" t="str" s="15">
        <f t="shared" ref="K18:K20" si="5">IF(J18="X",0*0.2,"")</f>
      </c>
    </row>
    <row r="19" spans="1:11" ht="36" outlineLevel="1" x14ac:dyDescent="0.3">
      <c r="A19" s="39"/>
      <c r="B19" s="28" t="str">
        <f>RUBRICA!A10</f>
        <v>7.- Generan evidencias claras dentro del repositorio  del aporte de cada uno de los integrantes del equipo que permitan identificar la equidad en el trabajo y la participación de cada estudiante.</v>
      </c>
      <c r="C19" s="26"/>
      <c r="D19" t="str" s="15">
        <f>IF($C19=CL,"X","")</f>
      </c>
      <c r="E19" t="str" s="15">
        <f>IF(D19="X",100*0.15,"")</f>
      </c>
      <c r="F19" t="str" s="15">
        <f>IF($C19=L,"X","")</f>
      </c>
      <c r="G19" t="str" s="15">
        <f>IF(F19="X",60*0.15,"")</f>
      </c>
      <c r="H19" t="str" s="15">
        <f>IF($C19=ML,"X","")</f>
      </c>
      <c r="I19" t="str" s="15">
        <f>IF(H19="X",30*0.15,"")</f>
      </c>
      <c r="J19" t="str" s="15">
        <f>IF($C19=NL,"X","")</f>
      </c>
      <c r="K19" t="str" s="15">
        <f t="shared" si="5">IF(J19="X",0*0.15,"")</f>
      </c>
    </row>
    <row r="20" spans="1:11" ht="36" outlineLevel="1" x14ac:dyDescent="0.3">
      <c r="A20" s="39"/>
      <c r="B20" s="28" t="str">
        <f>RUBRICA!A11</f>
        <v>8. Demuestra un trabajo en equipo en donde todos los miembros del equipo expresan con fluidez el conocimiento del tema expuesto y  participan de las actividades planificadas en el proyecto</v>
      </c>
      <c r="C20" s="26"/>
      <c r="D20" t="str" s="15">
        <f>IF($C20=CL,"X","")</f>
      </c>
      <c r="E20" t="str" s="15">
        <f>IF(D20="X",100*0.1,"")</f>
      </c>
      <c r="F20" t="str" s="15">
        <f>IF($C20=L,"X","")</f>
      </c>
      <c r="G20" t="str" s="15">
        <f>IF(F20="X",60*0.1,"")</f>
      </c>
      <c r="H20" t="str" s="15">
        <f>IF($C20=ML,"X","")</f>
      </c>
      <c r="I20" t="str" s="15">
        <f>IF(H20="X",30*0.1,"")</f>
      </c>
      <c r="J20" t="str" s="15">
        <f>IF($C20=NL,"X","")</f>
      </c>
      <c r="K20" t="str" s="15">
        <f t="shared" si="5">IF(J20="X",0*0.1,"")</f>
      </c>
    </row>
    <row r="21" spans="1:11" ht="15.75" customHeight="1" outlineLevel="1" x14ac:dyDescent="0.35">
      <c r="A21" s="38"/>
      <c r="B21" s="27" t="s">
        <v>4</v>
      </c>
      <c r="C21" t="str" s="31">
        <f>IF(COUNTA(C13:C20)&lt;8,"",E21+G21+I21+K21)</f>
      </c>
      <c r="D21" s="16"/>
      <c r="E21" t="str" s="16">
        <f>IF(COUNTA(C13:C20)&lt;8,"",SUM(E13:E20))</f>
      </c>
      <c r="F21" s="16"/>
      <c r="G21" t="str" s="16">
        <f>IF(COUNTA(C13:C20)&lt;8,"",SUM(G13:G20))</f>
      </c>
      <c r="H21" s="16"/>
      <c r="I21" t="str" s="16">
        <f>IF(COUNTA(C13:C20)&lt;8,"",SUM(I13:I20))</f>
      </c>
      <c r="J21" s="16"/>
      <c r="K21" t="str" s="16">
        <f>IF(COUNTA(C13:C20)&lt;8,"",SUM(K13:K20))</f>
      </c>
    </row>
    <row r="22" spans="1:11" ht="15.75" customHeight="1" outlineLevel="1" x14ac:dyDescent="0.35">
      <c r="A22" s="40"/>
      <c r="B22" s="30" t="s">
        <v>13</v>
      </c>
      <c r="C22" t="str" s="17">
        <f>IF(C21="","",VLOOKUP(C21,ESCALA_IEP!A2:B202,2,FALSE))</f>
      </c>
    </row>
    <row r="23" spans="1:11" ht="15.75" customHeight="1" x14ac:dyDescent="0.3">
      <c r="D23" t="s">
        <v>41</v>
      </c>
    </row>
    <row r="24" spans="1:11" ht="48" customHeight="1" x14ac:dyDescent="0.3">
      <c r="B24" s="34"/>
    </row>
    <row r="25" spans="1:11" ht="15.75" customHeight="1" x14ac:dyDescent="0.35">
      <c r="B25" s="18"/>
      <c r="C25" s="19"/>
    </row>
    <row r="26" spans="1:11" ht="31.2" customHeight="1" x14ac:dyDescent="0.3">
      <c r="B26" s="35"/>
    </row>
    <row r="27" spans="1:11" ht="15.75" customHeight="1" x14ac:dyDescent="0.3"/>
    <row r="28" spans="1:11" ht="15.75" customHeight="1" x14ac:dyDescent="0.3"/>
    <row r="29" spans="1:11" ht="15.75" customHeight="1" x14ac:dyDescent="0.3"/>
    <row r="30" spans="1:11" ht="15.75" customHeight="1" x14ac:dyDescent="0.3"/>
    <row r="31" spans="1:11" ht="15.75" customHeight="1" x14ac:dyDescent="0.3"/>
    <row r="32" spans="1:11"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sheetData>
  <mergeCells count="7">
    <mergeCell ref="A11:A22"/>
    <mergeCell ref="C11:C12"/>
    <mergeCell ref="D12:E12"/>
    <mergeCell ref="D11:K11"/>
    <mergeCell ref="F12:G12"/>
    <mergeCell ref="H12:I12"/>
    <mergeCell ref="J12:K12"/>
  </mergeCells>
  <conditionalFormatting sqref="C4:C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C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96D1B-8A63-4A90-BA20-D34AC13A3962}">
  <dimension ref="A1:F11"/>
  <sheetViews>
    <sheetView tabSelected="1" topLeftCell="A5" zoomScale="80" zoomScaleNormal="80" workbookViewId="0">
      <selection activeCell="C11" sqref="C11"/>
    </sheetView>
  </sheetViews>
  <sheetFormatPr baseColWidth="10" defaultRowHeight="14.4" x14ac:dyDescent="0.3"/>
  <cols>
    <col min="1" max="6" width="38.77734375" customWidth="1"/>
  </cols>
  <sheetData>
    <row r="1" spans="1:6" ht="15" thickBot="1" x14ac:dyDescent="0.35">
      <c r="A1" s="46" t="s">
        <v>14</v>
      </c>
      <c r="B1" s="49" t="s">
        <v>15</v>
      </c>
      <c r="C1" s="50"/>
      <c r="D1" s="50"/>
      <c r="E1" s="51"/>
      <c r="F1" s="46" t="s">
        <v>16</v>
      </c>
    </row>
    <row r="2" spans="1:6" x14ac:dyDescent="0.3">
      <c r="A2" s="47"/>
      <c r="B2" s="52" t="s">
        <v>25</v>
      </c>
      <c r="C2" s="52" t="s">
        <v>17</v>
      </c>
      <c r="D2" s="21" t="s">
        <v>18</v>
      </c>
      <c r="E2" s="22" t="s">
        <v>7</v>
      </c>
      <c r="F2" s="47"/>
    </row>
    <row r="3" spans="1:6" ht="15" thickBot="1" x14ac:dyDescent="0.35">
      <c r="A3" s="47"/>
      <c r="B3" s="55"/>
      <c r="C3" s="55"/>
      <c r="D3" s="56">
        <v>-0.3</v>
      </c>
      <c r="E3" s="56">
        <v>0</v>
      </c>
      <c r="F3" s="48"/>
    </row>
    <row r="4" spans="1:6" ht="55.8" thickBot="1" x14ac:dyDescent="0.35">
      <c r="A4" s="59" t="s">
        <v>26</v>
      </c>
      <c r="B4" s="24" t="s">
        <v>27</v>
      </c>
      <c r="C4" s="24" t="s">
        <v>28</v>
      </c>
      <c r="D4" s="24" t="s">
        <v>29</v>
      </c>
      <c r="E4" s="24" t="s">
        <v>30</v>
      </c>
      <c r="F4" s="23">
        <v>10</v>
      </c>
    </row>
    <row r="5" spans="1:6" ht="55.8" thickBot="1" x14ac:dyDescent="0.35">
      <c r="A5" s="59" t="s">
        <v>31</v>
      </c>
      <c r="B5" s="24" t="s">
        <v>42</v>
      </c>
      <c r="C5" s="24" t="s">
        <v>32</v>
      </c>
      <c r="D5" s="24" t="s">
        <v>33</v>
      </c>
      <c r="E5" s="24" t="s">
        <v>34</v>
      </c>
      <c r="F5" s="23">
        <v>10</v>
      </c>
    </row>
    <row r="6" spans="1:6" ht="97.2" thickBot="1" x14ac:dyDescent="0.35">
      <c r="A6" s="59" t="s">
        <v>43</v>
      </c>
      <c r="B6" s="24" t="s">
        <v>44</v>
      </c>
      <c r="C6" s="24" t="s">
        <v>45</v>
      </c>
      <c r="D6" s="24" t="s">
        <v>46</v>
      </c>
      <c r="E6" s="24" t="s">
        <v>47</v>
      </c>
      <c r="F6" s="23">
        <v>25</v>
      </c>
    </row>
    <row r="7" spans="1:6" ht="42" thickBot="1" x14ac:dyDescent="0.35">
      <c r="A7" s="59" t="s">
        <v>48</v>
      </c>
      <c r="B7" s="24" t="s">
        <v>49</v>
      </c>
      <c r="C7" s="24" t="s">
        <v>50</v>
      </c>
      <c r="D7" s="24" t="s">
        <v>51</v>
      </c>
      <c r="E7" s="24" t="s">
        <v>52</v>
      </c>
      <c r="F7" s="23">
        <v>5</v>
      </c>
    </row>
    <row r="8" spans="1:6" ht="55.2" x14ac:dyDescent="0.3">
      <c r="A8" s="59" t="s">
        <v>35</v>
      </c>
      <c r="B8" s="24" t="s">
        <v>22</v>
      </c>
      <c r="C8" s="24" t="s">
        <v>19</v>
      </c>
      <c r="D8" s="24" t="s">
        <v>20</v>
      </c>
      <c r="E8" s="24" t="s">
        <v>21</v>
      </c>
      <c r="F8" s="57">
        <v>5</v>
      </c>
    </row>
    <row r="9" spans="1:6" ht="55.8" thickBot="1" x14ac:dyDescent="0.35">
      <c r="A9" s="59" t="s">
        <v>53</v>
      </c>
      <c r="B9" s="24" t="s">
        <v>54</v>
      </c>
      <c r="C9" s="24" t="s">
        <v>55</v>
      </c>
      <c r="D9" s="24" t="s">
        <v>56</v>
      </c>
      <c r="E9" s="24" t="s">
        <v>57</v>
      </c>
      <c r="F9" s="23">
        <v>20</v>
      </c>
    </row>
    <row r="10" spans="1:6" ht="69.599999999999994" thickBot="1" x14ac:dyDescent="0.35">
      <c r="A10" s="60" t="s">
        <v>58</v>
      </c>
      <c r="B10" s="58" t="s">
        <v>59</v>
      </c>
      <c r="C10" s="58" t="s">
        <v>60</v>
      </c>
      <c r="D10" s="58" t="s">
        <v>61</v>
      </c>
      <c r="E10" s="58" t="s">
        <v>62</v>
      </c>
      <c r="F10" s="32">
        <v>15</v>
      </c>
    </row>
    <row r="11" spans="1:6" ht="81.599999999999994" customHeight="1" x14ac:dyDescent="0.3">
      <c r="A11" s="59" t="s">
        <v>36</v>
      </c>
      <c r="B11" s="24" t="s">
        <v>37</v>
      </c>
      <c r="C11" s="24" t="s">
        <v>38</v>
      </c>
      <c r="D11" s="24" t="s">
        <v>39</v>
      </c>
      <c r="E11" s="24" t="s">
        <v>40</v>
      </c>
      <c r="F11" s="36">
        <v>10</v>
      </c>
    </row>
  </sheetData>
  <mergeCells count="5">
    <mergeCell ref="A1:A3"/>
    <mergeCell ref="B1:E1"/>
    <mergeCell ref="F1:F3"/>
    <mergeCell ref="B2:B3"/>
    <mergeCell ref="C2:C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146" workbookViewId="0">
      <selection sqref="A1:B202"/>
    </sheetView>
  </sheetViews>
  <sheetFormatPr baseColWidth="10" defaultColWidth="14.44140625" defaultRowHeight="15" customHeight="1" x14ac:dyDescent="0.3"/>
  <cols>
    <col min="1" max="26" width="10.6640625" customWidth="1"/>
  </cols>
  <sheetData>
    <row r="1" spans="1:2" ht="14.4" x14ac:dyDescent="0.3">
      <c r="A1" t="s">
        <v>4</v>
      </c>
      <c r="B1" t="s">
        <v>13</v>
      </c>
    </row>
    <row r="2" spans="1:2" ht="14.4" x14ac:dyDescent="0.3">
      <c r="A2">
        <v>0</v>
      </c>
      <c r="B2">
        <v>1</v>
      </c>
    </row>
    <row r="3" spans="1:2" ht="14.4" x14ac:dyDescent="0.3">
      <c r="A3">
        <v>0.5</v>
      </c>
      <c r="B3">
        <v>1</v>
      </c>
    </row>
    <row r="4" spans="1:2" ht="14.4" x14ac:dyDescent="0.3">
      <c r="A4">
        <v>1</v>
      </c>
      <c r="B4">
        <v>1.1000000000000001</v>
      </c>
    </row>
    <row r="5" spans="1:2" ht="14.4" x14ac:dyDescent="0.3">
      <c r="A5">
        <v>1.5</v>
      </c>
      <c r="B5">
        <v>1.1000000000000001</v>
      </c>
    </row>
    <row r="6" spans="1:2" ht="14.4" x14ac:dyDescent="0.3">
      <c r="A6">
        <v>2</v>
      </c>
      <c r="B6">
        <v>1.1000000000000001</v>
      </c>
    </row>
    <row r="7" spans="1:2" ht="14.4" x14ac:dyDescent="0.3">
      <c r="A7">
        <v>2.5</v>
      </c>
      <c r="B7">
        <v>1.1000000000000001</v>
      </c>
    </row>
    <row r="8" spans="1:2" ht="14.4" x14ac:dyDescent="0.3">
      <c r="A8">
        <v>3</v>
      </c>
      <c r="B8">
        <v>1.2</v>
      </c>
    </row>
    <row r="9" spans="1:2" ht="14.4" x14ac:dyDescent="0.3">
      <c r="A9">
        <v>3.5</v>
      </c>
      <c r="B9">
        <v>1.2</v>
      </c>
    </row>
    <row r="10" spans="1:2" ht="14.4" x14ac:dyDescent="0.3">
      <c r="A10">
        <v>4</v>
      </c>
      <c r="B10">
        <v>1.2</v>
      </c>
    </row>
    <row r="11" spans="1:2" ht="14.4" x14ac:dyDescent="0.3">
      <c r="A11">
        <v>4.5</v>
      </c>
      <c r="B11">
        <v>1.2</v>
      </c>
    </row>
    <row r="12" spans="1:2" ht="14.4" x14ac:dyDescent="0.3">
      <c r="A12">
        <v>5</v>
      </c>
      <c r="B12">
        <v>1.3</v>
      </c>
    </row>
    <row r="13" spans="1:2" ht="14.4" x14ac:dyDescent="0.3">
      <c r="A13">
        <v>5.5</v>
      </c>
      <c r="B13">
        <v>1.3</v>
      </c>
    </row>
    <row r="14" spans="1:2" ht="14.4" x14ac:dyDescent="0.3">
      <c r="A14">
        <v>6</v>
      </c>
      <c r="B14">
        <v>1.3</v>
      </c>
    </row>
    <row r="15" spans="1:2" ht="14.4" x14ac:dyDescent="0.3">
      <c r="A15">
        <v>6.5</v>
      </c>
      <c r="B15">
        <v>1.3</v>
      </c>
    </row>
    <row r="16" spans="1:2" ht="14.4" x14ac:dyDescent="0.3">
      <c r="A16">
        <v>7</v>
      </c>
      <c r="B16">
        <v>1.4</v>
      </c>
    </row>
    <row r="17" spans="1:2" ht="14.4" x14ac:dyDescent="0.3">
      <c r="A17">
        <v>7.5</v>
      </c>
      <c r="B17">
        <v>1.4</v>
      </c>
    </row>
    <row r="18" spans="1:2" ht="14.4" x14ac:dyDescent="0.3">
      <c r="A18">
        <v>8</v>
      </c>
      <c r="B18">
        <v>1.4</v>
      </c>
    </row>
    <row r="19" spans="1:2" ht="14.4" x14ac:dyDescent="0.3">
      <c r="A19">
        <v>8.5</v>
      </c>
      <c r="B19">
        <v>1.4</v>
      </c>
    </row>
    <row r="20" spans="1:2" ht="14.4" x14ac:dyDescent="0.3">
      <c r="A20">
        <v>9</v>
      </c>
      <c r="B20">
        <v>1.5</v>
      </c>
    </row>
    <row r="21" spans="1:2" ht="15.75" customHeight="1" x14ac:dyDescent="0.3">
      <c r="A21">
        <v>9.5</v>
      </c>
      <c r="B21">
        <v>1.5</v>
      </c>
    </row>
    <row r="22" spans="1:2" ht="15.75" customHeight="1" x14ac:dyDescent="0.3">
      <c r="A22">
        <v>10</v>
      </c>
      <c r="B22">
        <v>1.5</v>
      </c>
    </row>
    <row r="23" spans="1:2" ht="15.75" customHeight="1" x14ac:dyDescent="0.3">
      <c r="A23">
        <v>10.5</v>
      </c>
      <c r="B23">
        <v>1.5</v>
      </c>
    </row>
    <row r="24" spans="1:2" ht="15.75" customHeight="1" x14ac:dyDescent="0.3">
      <c r="A24">
        <v>11</v>
      </c>
      <c r="B24">
        <v>1.6</v>
      </c>
    </row>
    <row r="25" spans="1:2" ht="15.75" customHeight="1" x14ac:dyDescent="0.3">
      <c r="A25">
        <v>11.5</v>
      </c>
      <c r="B25">
        <v>1.6</v>
      </c>
    </row>
    <row r="26" spans="1:2" ht="15.75" customHeight="1" x14ac:dyDescent="0.3">
      <c r="A26">
        <v>12</v>
      </c>
      <c r="B26">
        <v>1.6</v>
      </c>
    </row>
    <row r="27" spans="1:2" ht="15.75" customHeight="1" x14ac:dyDescent="0.3">
      <c r="A27">
        <v>12.5</v>
      </c>
      <c r="B27">
        <v>1.6</v>
      </c>
    </row>
    <row r="28" spans="1:2" ht="15.75" customHeight="1" x14ac:dyDescent="0.3">
      <c r="A28">
        <v>13</v>
      </c>
      <c r="B28">
        <v>1.7</v>
      </c>
    </row>
    <row r="29" spans="1:2" ht="15.75" customHeight="1" x14ac:dyDescent="0.3">
      <c r="A29">
        <v>13.5</v>
      </c>
      <c r="B29">
        <v>1.7</v>
      </c>
    </row>
    <row r="30" spans="1:2" ht="15.75" customHeight="1" x14ac:dyDescent="0.3">
      <c r="A30">
        <v>14</v>
      </c>
      <c r="B30">
        <v>1.7</v>
      </c>
    </row>
    <row r="31" spans="1:2" ht="15.75" customHeight="1" x14ac:dyDescent="0.3">
      <c r="A31">
        <v>14.5</v>
      </c>
      <c r="B31">
        <v>1.7</v>
      </c>
    </row>
    <row r="32" spans="1:2" ht="15.75" customHeight="1" x14ac:dyDescent="0.3">
      <c r="A32">
        <v>15</v>
      </c>
      <c r="B32">
        <v>1.8</v>
      </c>
    </row>
    <row r="33" spans="1:2" ht="15.75" customHeight="1" x14ac:dyDescent="0.3">
      <c r="A33">
        <v>15.5</v>
      </c>
      <c r="B33">
        <v>1.8</v>
      </c>
    </row>
    <row r="34" spans="1:2" ht="15.75" customHeight="1" x14ac:dyDescent="0.3">
      <c r="A34">
        <v>16</v>
      </c>
      <c r="B34">
        <v>1.8</v>
      </c>
    </row>
    <row r="35" spans="1:2" ht="15.75" customHeight="1" x14ac:dyDescent="0.3">
      <c r="A35">
        <v>16.5</v>
      </c>
      <c r="B35">
        <v>1.8</v>
      </c>
    </row>
    <row r="36" spans="1:2" ht="15.75" customHeight="1" x14ac:dyDescent="0.3">
      <c r="A36">
        <v>17</v>
      </c>
      <c r="B36">
        <v>1.9</v>
      </c>
    </row>
    <row r="37" spans="1:2" ht="15.75" customHeight="1" x14ac:dyDescent="0.3">
      <c r="A37">
        <v>17.5</v>
      </c>
      <c r="B37">
        <v>1.9</v>
      </c>
    </row>
    <row r="38" spans="1:2" ht="15.75" customHeight="1" x14ac:dyDescent="0.3">
      <c r="A38">
        <v>18</v>
      </c>
      <c r="B38">
        <v>1.9</v>
      </c>
    </row>
    <row r="39" spans="1:2" ht="15.75" customHeight="1" x14ac:dyDescent="0.3">
      <c r="A39">
        <v>18.5</v>
      </c>
      <c r="B39">
        <v>1.9</v>
      </c>
    </row>
    <row r="40" spans="1:2" ht="15.75" customHeight="1" x14ac:dyDescent="0.3">
      <c r="A40">
        <v>19</v>
      </c>
      <c r="B40">
        <v>2</v>
      </c>
    </row>
    <row r="41" spans="1:2" ht="15.75" customHeight="1" x14ac:dyDescent="0.3">
      <c r="A41">
        <v>19.5</v>
      </c>
      <c r="B41">
        <v>2</v>
      </c>
    </row>
    <row r="42" spans="1:2" ht="15.75" customHeight="1" x14ac:dyDescent="0.3">
      <c r="A42">
        <v>20</v>
      </c>
      <c r="B42">
        <v>2</v>
      </c>
    </row>
    <row r="43" spans="1:2" ht="15.75" customHeight="1" x14ac:dyDescent="0.3">
      <c r="A43">
        <v>20.5</v>
      </c>
      <c r="B43">
        <v>2</v>
      </c>
    </row>
    <row r="44" spans="1:2" ht="15.75" customHeight="1" x14ac:dyDescent="0.3">
      <c r="A44">
        <v>21</v>
      </c>
      <c r="B44">
        <v>2.1</v>
      </c>
    </row>
    <row r="45" spans="1:2" ht="15.75" customHeight="1" x14ac:dyDescent="0.3">
      <c r="A45">
        <v>21.5</v>
      </c>
      <c r="B45">
        <v>2.1</v>
      </c>
    </row>
    <row r="46" spans="1:2" ht="15.75" customHeight="1" x14ac:dyDescent="0.3">
      <c r="A46">
        <v>22</v>
      </c>
      <c r="B46">
        <v>2.1</v>
      </c>
    </row>
    <row r="47" spans="1:2" ht="15.75" customHeight="1" x14ac:dyDescent="0.3">
      <c r="A47">
        <v>22.5</v>
      </c>
      <c r="B47">
        <v>2.1</v>
      </c>
    </row>
    <row r="48" spans="1:2" ht="15.75" customHeight="1" x14ac:dyDescent="0.3">
      <c r="A48">
        <v>23</v>
      </c>
      <c r="B48">
        <v>2.2000000000000002</v>
      </c>
    </row>
    <row r="49" spans="1:2" ht="15.75" customHeight="1" x14ac:dyDescent="0.3">
      <c r="A49">
        <v>23.5</v>
      </c>
      <c r="B49">
        <v>2.2000000000000002</v>
      </c>
    </row>
    <row r="50" spans="1:2" ht="15.75" customHeight="1" x14ac:dyDescent="0.3">
      <c r="A50">
        <v>24</v>
      </c>
      <c r="B50">
        <v>2.2000000000000002</v>
      </c>
    </row>
    <row r="51" spans="1:2" ht="15.75" customHeight="1" x14ac:dyDescent="0.3">
      <c r="A51">
        <v>24.5</v>
      </c>
      <c r="B51">
        <v>2.2000000000000002</v>
      </c>
    </row>
    <row r="52" spans="1:2" ht="15.75" customHeight="1" x14ac:dyDescent="0.3">
      <c r="A52">
        <v>25</v>
      </c>
      <c r="B52">
        <v>2.2999999999999998</v>
      </c>
    </row>
    <row r="53" spans="1:2" ht="15.75" customHeight="1" x14ac:dyDescent="0.3">
      <c r="A53">
        <v>25.5</v>
      </c>
      <c r="B53">
        <v>2.2999999999999998</v>
      </c>
    </row>
    <row r="54" spans="1:2" ht="15.75" customHeight="1" x14ac:dyDescent="0.3">
      <c r="A54">
        <v>26</v>
      </c>
      <c r="B54">
        <v>2.2999999999999998</v>
      </c>
    </row>
    <row r="55" spans="1:2" ht="15.75" customHeight="1" x14ac:dyDescent="0.3">
      <c r="A55">
        <v>26.5</v>
      </c>
      <c r="B55">
        <v>2.2999999999999998</v>
      </c>
    </row>
    <row r="56" spans="1:2" ht="15.75" customHeight="1" x14ac:dyDescent="0.3">
      <c r="A56">
        <v>27</v>
      </c>
      <c r="B56">
        <v>2.4</v>
      </c>
    </row>
    <row r="57" spans="1:2" ht="15.75" customHeight="1" x14ac:dyDescent="0.3">
      <c r="A57">
        <v>27.5</v>
      </c>
      <c r="B57">
        <v>2.4</v>
      </c>
    </row>
    <row r="58" spans="1:2" ht="15.75" customHeight="1" x14ac:dyDescent="0.3">
      <c r="A58">
        <v>28</v>
      </c>
      <c r="B58">
        <v>2.4</v>
      </c>
    </row>
    <row r="59" spans="1:2" ht="15.75" customHeight="1" x14ac:dyDescent="0.3">
      <c r="A59">
        <v>28.5</v>
      </c>
      <c r="B59">
        <v>2.4</v>
      </c>
    </row>
    <row r="60" spans="1:2" ht="15.75" customHeight="1" x14ac:dyDescent="0.3">
      <c r="A60">
        <v>29</v>
      </c>
      <c r="B60">
        <v>2.5</v>
      </c>
    </row>
    <row r="61" spans="1:2" ht="15.75" customHeight="1" x14ac:dyDescent="0.3">
      <c r="A61">
        <v>29.5</v>
      </c>
      <c r="B61">
        <v>2.5</v>
      </c>
    </row>
    <row r="62" spans="1:2" ht="15.75" customHeight="1" x14ac:dyDescent="0.3">
      <c r="A62">
        <v>30</v>
      </c>
      <c r="B62">
        <v>2.5</v>
      </c>
    </row>
    <row r="63" spans="1:2" ht="15.75" customHeight="1" x14ac:dyDescent="0.3">
      <c r="A63">
        <v>30.5</v>
      </c>
      <c r="B63">
        <v>2.5</v>
      </c>
    </row>
    <row r="64" spans="1:2" ht="15.75" customHeight="1" x14ac:dyDescent="0.3">
      <c r="A64">
        <v>31</v>
      </c>
      <c r="B64">
        <v>2.6</v>
      </c>
    </row>
    <row r="65" spans="1:2" ht="15.75" customHeight="1" x14ac:dyDescent="0.3">
      <c r="A65">
        <v>31.5</v>
      </c>
      <c r="B65">
        <v>2.6</v>
      </c>
    </row>
    <row r="66" spans="1:2" ht="15.75" customHeight="1" x14ac:dyDescent="0.3">
      <c r="A66">
        <v>32</v>
      </c>
      <c r="B66">
        <v>2.6</v>
      </c>
    </row>
    <row r="67" spans="1:2" ht="15.75" customHeight="1" x14ac:dyDescent="0.3">
      <c r="A67">
        <v>32.5</v>
      </c>
      <c r="B67">
        <v>2.6</v>
      </c>
    </row>
    <row r="68" spans="1:2" ht="15.75" customHeight="1" x14ac:dyDescent="0.3">
      <c r="A68">
        <v>33</v>
      </c>
      <c r="B68">
        <v>2.7</v>
      </c>
    </row>
    <row r="69" spans="1:2" ht="15.75" customHeight="1" x14ac:dyDescent="0.3">
      <c r="A69">
        <v>33.5</v>
      </c>
      <c r="B69">
        <v>2.7</v>
      </c>
    </row>
    <row r="70" spans="1:2" ht="15.75" customHeight="1" x14ac:dyDescent="0.3">
      <c r="A70">
        <v>34</v>
      </c>
      <c r="B70">
        <v>2.7</v>
      </c>
    </row>
    <row r="71" spans="1:2" ht="15.75" customHeight="1" x14ac:dyDescent="0.3">
      <c r="A71">
        <v>34.5</v>
      </c>
      <c r="B71">
        <v>2.7</v>
      </c>
    </row>
    <row r="72" spans="1:2" ht="15.75" customHeight="1" x14ac:dyDescent="0.3">
      <c r="A72">
        <v>35</v>
      </c>
      <c r="B72">
        <v>2.8</v>
      </c>
    </row>
    <row r="73" spans="1:2" ht="15.75" customHeight="1" x14ac:dyDescent="0.3">
      <c r="A73">
        <v>35.5</v>
      </c>
      <c r="B73">
        <v>2.8</v>
      </c>
    </row>
    <row r="74" spans="1:2" ht="15.75" customHeight="1" x14ac:dyDescent="0.3">
      <c r="A74">
        <v>36</v>
      </c>
      <c r="B74">
        <v>2.8</v>
      </c>
    </row>
    <row r="75" spans="1:2" ht="15.75" customHeight="1" x14ac:dyDescent="0.3">
      <c r="A75">
        <v>36.5</v>
      </c>
      <c r="B75">
        <v>2.8</v>
      </c>
    </row>
    <row r="76" spans="1:2" ht="15.75" customHeight="1" x14ac:dyDescent="0.3">
      <c r="A76">
        <v>37</v>
      </c>
      <c r="B76">
        <v>2.9</v>
      </c>
    </row>
    <row r="77" spans="1:2" ht="15.75" customHeight="1" x14ac:dyDescent="0.3">
      <c r="A77">
        <v>37.5</v>
      </c>
      <c r="B77">
        <v>2.9</v>
      </c>
    </row>
    <row r="78" spans="1:2" ht="15.75" customHeight="1" x14ac:dyDescent="0.3">
      <c r="A78">
        <v>38</v>
      </c>
      <c r="B78">
        <v>2.9</v>
      </c>
    </row>
    <row r="79" spans="1:2" ht="15.75" customHeight="1" x14ac:dyDescent="0.3">
      <c r="A79">
        <v>38.5</v>
      </c>
      <c r="B79">
        <v>2.9</v>
      </c>
    </row>
    <row r="80" spans="1:2" ht="15.75" customHeight="1" x14ac:dyDescent="0.3">
      <c r="A80">
        <v>39</v>
      </c>
      <c r="B80">
        <v>3</v>
      </c>
    </row>
    <row r="81" spans="1:2" ht="15.75" customHeight="1" x14ac:dyDescent="0.3">
      <c r="A81">
        <v>39.5</v>
      </c>
      <c r="B81">
        <v>3</v>
      </c>
    </row>
    <row r="82" spans="1:2" ht="15.75" customHeight="1" x14ac:dyDescent="0.3">
      <c r="A82">
        <v>40</v>
      </c>
      <c r="B82">
        <v>3</v>
      </c>
    </row>
    <row r="83" spans="1:2" ht="15.75" customHeight="1" x14ac:dyDescent="0.3">
      <c r="A83">
        <v>40.5</v>
      </c>
      <c r="B83">
        <v>3</v>
      </c>
    </row>
    <row r="84" spans="1:2" ht="15.75" customHeight="1" x14ac:dyDescent="0.3">
      <c r="A84">
        <v>41</v>
      </c>
      <c r="B84">
        <v>3.1</v>
      </c>
    </row>
    <row r="85" spans="1:2" ht="15.75" customHeight="1" x14ac:dyDescent="0.3">
      <c r="A85">
        <v>41.5</v>
      </c>
      <c r="B85">
        <v>3.1</v>
      </c>
    </row>
    <row r="86" spans="1:2" ht="15.75" customHeight="1" x14ac:dyDescent="0.3">
      <c r="A86">
        <v>42</v>
      </c>
      <c r="B86">
        <v>3.1</v>
      </c>
    </row>
    <row r="87" spans="1:2" ht="15.75" customHeight="1" x14ac:dyDescent="0.3">
      <c r="A87">
        <v>42.5</v>
      </c>
      <c r="B87">
        <v>3.1</v>
      </c>
    </row>
    <row r="88" spans="1:2" ht="15.75" customHeight="1" x14ac:dyDescent="0.3">
      <c r="A88">
        <v>43</v>
      </c>
      <c r="B88">
        <v>3.2</v>
      </c>
    </row>
    <row r="89" spans="1:2" ht="15.75" customHeight="1" x14ac:dyDescent="0.3">
      <c r="A89">
        <v>43.5</v>
      </c>
      <c r="B89">
        <v>3.2</v>
      </c>
    </row>
    <row r="90" spans="1:2" ht="15.75" customHeight="1" x14ac:dyDescent="0.3">
      <c r="A90">
        <v>44</v>
      </c>
      <c r="B90">
        <v>3.2</v>
      </c>
    </row>
    <row r="91" spans="1:2" ht="15.75" customHeight="1" x14ac:dyDescent="0.3">
      <c r="A91">
        <v>44.5</v>
      </c>
      <c r="B91">
        <v>3.2</v>
      </c>
    </row>
    <row r="92" spans="1:2" ht="15.75" customHeight="1" x14ac:dyDescent="0.3">
      <c r="A92">
        <v>45</v>
      </c>
      <c r="B92">
        <v>3.3</v>
      </c>
    </row>
    <row r="93" spans="1:2" ht="15.75" customHeight="1" x14ac:dyDescent="0.3">
      <c r="A93">
        <v>45.5</v>
      </c>
      <c r="B93">
        <v>3.3</v>
      </c>
    </row>
    <row r="94" spans="1:2" ht="15.75" customHeight="1" x14ac:dyDescent="0.3">
      <c r="A94">
        <v>46</v>
      </c>
      <c r="B94">
        <v>3.3</v>
      </c>
    </row>
    <row r="95" spans="1:2" ht="15.75" customHeight="1" x14ac:dyDescent="0.3">
      <c r="A95">
        <v>46.5</v>
      </c>
      <c r="B95">
        <v>3.3</v>
      </c>
    </row>
    <row r="96" spans="1:2" ht="15.75" customHeight="1" x14ac:dyDescent="0.3">
      <c r="A96">
        <v>47</v>
      </c>
      <c r="B96">
        <v>3.4</v>
      </c>
    </row>
    <row r="97" spans="1:2" ht="15.75" customHeight="1" x14ac:dyDescent="0.3">
      <c r="A97">
        <v>47.5</v>
      </c>
      <c r="B97">
        <v>3.4</v>
      </c>
    </row>
    <row r="98" spans="1:2" ht="15.75" customHeight="1" x14ac:dyDescent="0.3">
      <c r="A98">
        <v>48</v>
      </c>
      <c r="B98">
        <v>3.4</v>
      </c>
    </row>
    <row r="99" spans="1:2" ht="15.75" customHeight="1" x14ac:dyDescent="0.3">
      <c r="A99">
        <v>48.5</v>
      </c>
      <c r="B99">
        <v>3.4</v>
      </c>
    </row>
    <row r="100" spans="1:2" ht="15.75" customHeight="1" x14ac:dyDescent="0.3">
      <c r="A100">
        <v>49</v>
      </c>
      <c r="B100">
        <v>3.5</v>
      </c>
    </row>
    <row r="101" spans="1:2" ht="15.75" customHeight="1" x14ac:dyDescent="0.3">
      <c r="A101">
        <v>49.5</v>
      </c>
      <c r="B101">
        <v>3.5</v>
      </c>
    </row>
    <row r="102" spans="1:2" ht="15.75" customHeight="1" x14ac:dyDescent="0.3">
      <c r="A102">
        <v>50</v>
      </c>
      <c r="B102">
        <v>3.5</v>
      </c>
    </row>
    <row r="103" spans="1:2" ht="15.75" customHeight="1" x14ac:dyDescent="0.3">
      <c r="A103">
        <v>50.5</v>
      </c>
      <c r="B103">
        <v>3.5</v>
      </c>
    </row>
    <row r="104" spans="1:2" ht="15.75" customHeight="1" x14ac:dyDescent="0.3">
      <c r="A104">
        <v>51</v>
      </c>
      <c r="B104">
        <v>3.6</v>
      </c>
    </row>
    <row r="105" spans="1:2" ht="15.75" customHeight="1" x14ac:dyDescent="0.3">
      <c r="A105">
        <v>51.5</v>
      </c>
      <c r="B105">
        <v>3.6</v>
      </c>
    </row>
    <row r="106" spans="1:2" ht="15.75" customHeight="1" x14ac:dyDescent="0.3">
      <c r="A106">
        <v>52</v>
      </c>
      <c r="B106">
        <v>3.6</v>
      </c>
    </row>
    <row r="107" spans="1:2" ht="15.75" customHeight="1" x14ac:dyDescent="0.3">
      <c r="A107">
        <v>52.5</v>
      </c>
      <c r="B107">
        <v>3.6</v>
      </c>
    </row>
    <row r="108" spans="1:2" ht="15.75" customHeight="1" x14ac:dyDescent="0.3">
      <c r="A108">
        <v>53</v>
      </c>
      <c r="B108">
        <v>3.7</v>
      </c>
    </row>
    <row r="109" spans="1:2" ht="15.75" customHeight="1" x14ac:dyDescent="0.3">
      <c r="A109">
        <v>53.5</v>
      </c>
      <c r="B109">
        <v>3.7</v>
      </c>
    </row>
    <row r="110" spans="1:2" ht="15.75" customHeight="1" x14ac:dyDescent="0.3">
      <c r="A110">
        <v>54</v>
      </c>
      <c r="B110">
        <v>3.7</v>
      </c>
    </row>
    <row r="111" spans="1:2" ht="15.75" customHeight="1" x14ac:dyDescent="0.3">
      <c r="A111">
        <v>54.5</v>
      </c>
      <c r="B111">
        <v>3.7</v>
      </c>
    </row>
    <row r="112" spans="1:2" ht="15.75" customHeight="1" x14ac:dyDescent="0.3">
      <c r="A112">
        <v>55</v>
      </c>
      <c r="B112">
        <v>3.8</v>
      </c>
    </row>
    <row r="113" spans="1:2" ht="15.75" customHeight="1" x14ac:dyDescent="0.3">
      <c r="A113">
        <v>55.5</v>
      </c>
      <c r="B113">
        <v>3.8</v>
      </c>
    </row>
    <row r="114" spans="1:2" ht="15.75" customHeight="1" x14ac:dyDescent="0.3">
      <c r="A114">
        <v>56</v>
      </c>
      <c r="B114">
        <v>3.8</v>
      </c>
    </row>
    <row r="115" spans="1:2" ht="15.75" customHeight="1" x14ac:dyDescent="0.3">
      <c r="A115">
        <v>56.5</v>
      </c>
      <c r="B115">
        <v>3.8</v>
      </c>
    </row>
    <row r="116" spans="1:2" ht="15.75" customHeight="1" x14ac:dyDescent="0.3">
      <c r="A116">
        <v>57</v>
      </c>
      <c r="B116">
        <v>3.9</v>
      </c>
    </row>
    <row r="117" spans="1:2" ht="15.75" customHeight="1" x14ac:dyDescent="0.3">
      <c r="A117">
        <v>57.5</v>
      </c>
      <c r="B117">
        <v>3.9</v>
      </c>
    </row>
    <row r="118" spans="1:2" ht="15.75" customHeight="1" x14ac:dyDescent="0.3">
      <c r="A118">
        <v>58</v>
      </c>
      <c r="B118">
        <v>3.9</v>
      </c>
    </row>
    <row r="119" spans="1:2" ht="15.75" customHeight="1" x14ac:dyDescent="0.3">
      <c r="A119">
        <v>58.5</v>
      </c>
      <c r="B119">
        <v>3.9</v>
      </c>
    </row>
    <row r="120" spans="1:2" ht="15.75" customHeight="1" x14ac:dyDescent="0.3">
      <c r="A120">
        <v>59</v>
      </c>
      <c r="B120">
        <v>4</v>
      </c>
    </row>
    <row r="121" spans="1:2" ht="15.75" customHeight="1" x14ac:dyDescent="0.3">
      <c r="A121">
        <v>59.5</v>
      </c>
      <c r="B121">
        <v>4</v>
      </c>
    </row>
    <row r="122" spans="1:2" ht="15.75" customHeight="1" x14ac:dyDescent="0.3">
      <c r="A122">
        <v>60</v>
      </c>
      <c r="B122">
        <v>4</v>
      </c>
    </row>
    <row r="123" spans="1:2" ht="15.75" customHeight="1" x14ac:dyDescent="0.3">
      <c r="A123">
        <v>60.5</v>
      </c>
      <c r="B123">
        <v>4</v>
      </c>
    </row>
    <row r="124" spans="1:2" ht="15.75" customHeight="1" x14ac:dyDescent="0.3">
      <c r="A124">
        <v>61</v>
      </c>
      <c r="B124">
        <v>4.0999999999999996</v>
      </c>
    </row>
    <row r="125" spans="1:2" ht="15.75" customHeight="1" x14ac:dyDescent="0.3">
      <c r="A125">
        <v>61.5</v>
      </c>
      <c r="B125">
        <v>4.0999999999999996</v>
      </c>
    </row>
    <row r="126" spans="1:2" ht="15.75" customHeight="1" x14ac:dyDescent="0.3">
      <c r="A126">
        <v>62</v>
      </c>
      <c r="B126">
        <v>4.2</v>
      </c>
    </row>
    <row r="127" spans="1:2" ht="15.75" customHeight="1" x14ac:dyDescent="0.3">
      <c r="A127">
        <v>62.5</v>
      </c>
      <c r="B127">
        <v>4.2</v>
      </c>
    </row>
    <row r="128" spans="1:2" ht="15.75" customHeight="1" x14ac:dyDescent="0.3">
      <c r="A128">
        <v>63</v>
      </c>
      <c r="B128">
        <v>4.2</v>
      </c>
    </row>
    <row r="129" spans="1:2" ht="15.75" customHeight="1" x14ac:dyDescent="0.3">
      <c r="A129">
        <v>63.5</v>
      </c>
      <c r="B129">
        <v>4.3</v>
      </c>
    </row>
    <row r="130" spans="1:2" ht="15.75" customHeight="1" x14ac:dyDescent="0.3">
      <c r="A130">
        <v>64</v>
      </c>
      <c r="B130">
        <v>4.3</v>
      </c>
    </row>
    <row r="131" spans="1:2" ht="15.75" customHeight="1" x14ac:dyDescent="0.3">
      <c r="A131">
        <v>64.5</v>
      </c>
      <c r="B131">
        <v>4.3</v>
      </c>
    </row>
    <row r="132" spans="1:2" ht="15.75" customHeight="1" x14ac:dyDescent="0.3">
      <c r="A132">
        <v>65</v>
      </c>
      <c r="B132">
        <v>4.4000000000000004</v>
      </c>
    </row>
    <row r="133" spans="1:2" ht="15.75" customHeight="1" x14ac:dyDescent="0.3">
      <c r="A133">
        <v>65.5</v>
      </c>
      <c r="B133">
        <v>4.4000000000000004</v>
      </c>
    </row>
    <row r="134" spans="1:2" ht="15.75" customHeight="1" x14ac:dyDescent="0.3">
      <c r="A134">
        <v>66</v>
      </c>
      <c r="B134">
        <v>4.5</v>
      </c>
    </row>
    <row r="135" spans="1:2" ht="15.75" customHeight="1" x14ac:dyDescent="0.3">
      <c r="A135">
        <v>66.5</v>
      </c>
      <c r="B135">
        <v>4.5</v>
      </c>
    </row>
    <row r="136" spans="1:2" ht="15.75" customHeight="1" x14ac:dyDescent="0.3">
      <c r="A136">
        <v>67</v>
      </c>
      <c r="B136">
        <v>4.5</v>
      </c>
    </row>
    <row r="137" spans="1:2" ht="15.75" customHeight="1" x14ac:dyDescent="0.3">
      <c r="A137">
        <v>67.5</v>
      </c>
      <c r="B137">
        <v>4.5999999999999996</v>
      </c>
    </row>
    <row r="138" spans="1:2" ht="15.75" customHeight="1" x14ac:dyDescent="0.3">
      <c r="A138">
        <v>68</v>
      </c>
      <c r="B138">
        <v>4.5999999999999996</v>
      </c>
    </row>
    <row r="139" spans="1:2" ht="15.75" customHeight="1" x14ac:dyDescent="0.3">
      <c r="A139">
        <v>68.5</v>
      </c>
      <c r="B139">
        <v>4.5999999999999996</v>
      </c>
    </row>
    <row r="140" spans="1:2" ht="15.75" customHeight="1" x14ac:dyDescent="0.3">
      <c r="A140">
        <v>69</v>
      </c>
      <c r="B140">
        <v>4.7</v>
      </c>
    </row>
    <row r="141" spans="1:2" ht="15.75" customHeight="1" x14ac:dyDescent="0.3">
      <c r="A141">
        <v>69.5</v>
      </c>
      <c r="B141">
        <v>4.7</v>
      </c>
    </row>
    <row r="142" spans="1:2" ht="15.75" customHeight="1" x14ac:dyDescent="0.3">
      <c r="A142">
        <v>70</v>
      </c>
      <c r="B142">
        <v>4.8</v>
      </c>
    </row>
    <row r="143" spans="1:2" ht="15.75" customHeight="1" x14ac:dyDescent="0.3">
      <c r="A143">
        <v>70.5</v>
      </c>
      <c r="B143">
        <v>4.8</v>
      </c>
    </row>
    <row r="144" spans="1:2" ht="15.75" customHeight="1" x14ac:dyDescent="0.3">
      <c r="A144">
        <v>71</v>
      </c>
      <c r="B144">
        <v>4.8</v>
      </c>
    </row>
    <row r="145" spans="1:2" ht="15.75" customHeight="1" x14ac:dyDescent="0.3">
      <c r="A145">
        <v>71.5</v>
      </c>
      <c r="B145">
        <v>4.9000000000000004</v>
      </c>
    </row>
    <row r="146" spans="1:2" ht="15.75" customHeight="1" x14ac:dyDescent="0.3">
      <c r="A146">
        <v>72</v>
      </c>
      <c r="B146">
        <v>4.9000000000000004</v>
      </c>
    </row>
    <row r="147" spans="1:2" ht="15.75" customHeight="1" x14ac:dyDescent="0.3">
      <c r="A147">
        <v>72.5</v>
      </c>
      <c r="B147">
        <v>4.9000000000000004</v>
      </c>
    </row>
    <row r="148" spans="1:2" ht="15.75" customHeight="1" x14ac:dyDescent="0.3">
      <c r="A148">
        <v>73</v>
      </c>
      <c r="B148">
        <v>5</v>
      </c>
    </row>
    <row r="149" spans="1:2" ht="15.75" customHeight="1" x14ac:dyDescent="0.3">
      <c r="A149">
        <v>73.5</v>
      </c>
      <c r="B149">
        <v>5</v>
      </c>
    </row>
    <row r="150" spans="1:2" ht="15.75" customHeight="1" x14ac:dyDescent="0.3">
      <c r="A150">
        <v>74</v>
      </c>
      <c r="B150">
        <v>5.0999999999999996</v>
      </c>
    </row>
    <row r="151" spans="1:2" ht="15.75" customHeight="1" x14ac:dyDescent="0.3">
      <c r="A151">
        <v>74.5</v>
      </c>
      <c r="B151">
        <v>5.0999999999999996</v>
      </c>
    </row>
    <row r="152" spans="1:2" ht="15.75" customHeight="1" x14ac:dyDescent="0.3">
      <c r="A152">
        <v>75</v>
      </c>
      <c r="B152">
        <v>5.0999999999999996</v>
      </c>
    </row>
    <row r="153" spans="1:2" ht="15.75" customHeight="1" x14ac:dyDescent="0.3">
      <c r="A153">
        <v>75.5</v>
      </c>
      <c r="B153">
        <v>5.2</v>
      </c>
    </row>
    <row r="154" spans="1:2" ht="15.75" customHeight="1" x14ac:dyDescent="0.3">
      <c r="A154">
        <v>76</v>
      </c>
      <c r="B154">
        <v>5.2</v>
      </c>
    </row>
    <row r="155" spans="1:2" ht="15.75" customHeight="1" x14ac:dyDescent="0.3">
      <c r="A155">
        <v>76.5</v>
      </c>
      <c r="B155">
        <v>5.2</v>
      </c>
    </row>
    <row r="156" spans="1:2" ht="15.75" customHeight="1" x14ac:dyDescent="0.3">
      <c r="A156">
        <v>77</v>
      </c>
      <c r="B156">
        <v>5.3</v>
      </c>
    </row>
    <row r="157" spans="1:2" ht="15.75" customHeight="1" x14ac:dyDescent="0.3">
      <c r="A157">
        <v>77.5</v>
      </c>
      <c r="B157">
        <v>5.3</v>
      </c>
    </row>
    <row r="158" spans="1:2" ht="15.75" customHeight="1" x14ac:dyDescent="0.3">
      <c r="A158">
        <v>78</v>
      </c>
      <c r="B158">
        <v>5.4</v>
      </c>
    </row>
    <row r="159" spans="1:2" ht="15.75" customHeight="1" x14ac:dyDescent="0.3">
      <c r="A159">
        <v>78.5</v>
      </c>
      <c r="B159">
        <v>5.4</v>
      </c>
    </row>
    <row r="160" spans="1:2" ht="15.75" customHeight="1" x14ac:dyDescent="0.3">
      <c r="A160">
        <v>79</v>
      </c>
      <c r="B160">
        <v>5.4</v>
      </c>
    </row>
    <row r="161" spans="1:2" ht="15.75" customHeight="1" x14ac:dyDescent="0.3">
      <c r="A161">
        <v>79.5</v>
      </c>
      <c r="B161">
        <v>5.5</v>
      </c>
    </row>
    <row r="162" spans="1:2" ht="15.75" customHeight="1" x14ac:dyDescent="0.3">
      <c r="A162">
        <v>80</v>
      </c>
      <c r="B162">
        <v>5.5</v>
      </c>
    </row>
    <row r="163" spans="1:2" ht="15.75" customHeight="1" x14ac:dyDescent="0.3">
      <c r="A163">
        <v>80.5</v>
      </c>
      <c r="B163">
        <v>5.5</v>
      </c>
    </row>
    <row r="164" spans="1:2" ht="15.75" customHeight="1" x14ac:dyDescent="0.3">
      <c r="A164">
        <v>81</v>
      </c>
      <c r="B164">
        <v>5.6</v>
      </c>
    </row>
    <row r="165" spans="1:2" ht="15.75" customHeight="1" x14ac:dyDescent="0.3">
      <c r="A165">
        <v>81.5</v>
      </c>
      <c r="B165">
        <v>5.6</v>
      </c>
    </row>
    <row r="166" spans="1:2" ht="15.75" customHeight="1" x14ac:dyDescent="0.3">
      <c r="A166">
        <v>82</v>
      </c>
      <c r="B166">
        <v>5.7</v>
      </c>
    </row>
    <row r="167" spans="1:2" ht="15.75" customHeight="1" x14ac:dyDescent="0.3">
      <c r="A167">
        <v>82.5</v>
      </c>
      <c r="B167">
        <v>5.7</v>
      </c>
    </row>
    <row r="168" spans="1:2" ht="15.75" customHeight="1" x14ac:dyDescent="0.3">
      <c r="A168">
        <v>83</v>
      </c>
      <c r="B168">
        <v>5.7</v>
      </c>
    </row>
    <row r="169" spans="1:2" ht="15.75" customHeight="1" x14ac:dyDescent="0.3">
      <c r="A169">
        <v>83.5</v>
      </c>
      <c r="B169">
        <v>5.8</v>
      </c>
    </row>
    <row r="170" spans="1:2" ht="15.75" customHeight="1" x14ac:dyDescent="0.3">
      <c r="A170">
        <v>84</v>
      </c>
      <c r="B170">
        <v>5.8</v>
      </c>
    </row>
    <row r="171" spans="1:2" ht="15.75" customHeight="1" x14ac:dyDescent="0.3">
      <c r="A171">
        <v>84.5</v>
      </c>
      <c r="B171">
        <v>5.8</v>
      </c>
    </row>
    <row r="172" spans="1:2" ht="15.75" customHeight="1" x14ac:dyDescent="0.3">
      <c r="A172">
        <v>85</v>
      </c>
      <c r="B172">
        <v>5.9</v>
      </c>
    </row>
    <row r="173" spans="1:2" ht="15.75" customHeight="1" x14ac:dyDescent="0.3">
      <c r="A173">
        <v>85.5</v>
      </c>
      <c r="B173">
        <v>5.9</v>
      </c>
    </row>
    <row r="174" spans="1:2" ht="15.75" customHeight="1" x14ac:dyDescent="0.3">
      <c r="A174">
        <v>86</v>
      </c>
      <c r="B174">
        <v>6</v>
      </c>
    </row>
    <row r="175" spans="1:2" ht="15.75" customHeight="1" x14ac:dyDescent="0.3">
      <c r="A175">
        <v>86.5</v>
      </c>
      <c r="B175">
        <v>6</v>
      </c>
    </row>
    <row r="176" spans="1:2" ht="15.75" customHeight="1" x14ac:dyDescent="0.3">
      <c r="A176">
        <v>87</v>
      </c>
      <c r="B176">
        <v>6</v>
      </c>
    </row>
    <row r="177" spans="1:2" ht="15.75" customHeight="1" x14ac:dyDescent="0.3">
      <c r="A177">
        <v>87.5</v>
      </c>
      <c r="B177">
        <v>6.1</v>
      </c>
    </row>
    <row r="178" spans="1:2" ht="15.75" customHeight="1" x14ac:dyDescent="0.3">
      <c r="A178">
        <v>88</v>
      </c>
      <c r="B178">
        <v>6.1</v>
      </c>
    </row>
    <row r="179" spans="1:2" ht="15.75" customHeight="1" x14ac:dyDescent="0.3">
      <c r="A179">
        <v>88.5</v>
      </c>
      <c r="B179">
        <v>6.1</v>
      </c>
    </row>
    <row r="180" spans="1:2" ht="15.75" customHeight="1" x14ac:dyDescent="0.3">
      <c r="A180">
        <v>89</v>
      </c>
      <c r="B180">
        <v>6.2</v>
      </c>
    </row>
    <row r="181" spans="1:2" ht="15.75" customHeight="1" x14ac:dyDescent="0.3">
      <c r="A181">
        <v>89.5</v>
      </c>
      <c r="B181">
        <v>6.2</v>
      </c>
    </row>
    <row r="182" spans="1:2" ht="15.75" customHeight="1" x14ac:dyDescent="0.3">
      <c r="A182">
        <v>90</v>
      </c>
      <c r="B182">
        <v>6.3</v>
      </c>
    </row>
    <row r="183" spans="1:2" ht="15.75" customHeight="1" x14ac:dyDescent="0.3">
      <c r="A183">
        <v>90.5</v>
      </c>
      <c r="B183">
        <v>6.3</v>
      </c>
    </row>
    <row r="184" spans="1:2" ht="15.75" customHeight="1" x14ac:dyDescent="0.3">
      <c r="A184">
        <v>91</v>
      </c>
      <c r="B184">
        <v>6.3</v>
      </c>
    </row>
    <row r="185" spans="1:2" ht="15.75" customHeight="1" x14ac:dyDescent="0.3">
      <c r="A185">
        <v>91.5</v>
      </c>
      <c r="B185">
        <v>6.4</v>
      </c>
    </row>
    <row r="186" spans="1:2" ht="15.75" customHeight="1" x14ac:dyDescent="0.3">
      <c r="A186">
        <v>92</v>
      </c>
      <c r="B186">
        <v>6.4</v>
      </c>
    </row>
    <row r="187" spans="1:2" ht="15.75" customHeight="1" x14ac:dyDescent="0.3">
      <c r="A187">
        <v>92.5</v>
      </c>
      <c r="B187">
        <v>6.4</v>
      </c>
    </row>
    <row r="188" spans="1:2" ht="15.75" customHeight="1" x14ac:dyDescent="0.3">
      <c r="A188">
        <v>93</v>
      </c>
      <c r="B188">
        <v>6.5</v>
      </c>
    </row>
    <row r="189" spans="1:2" ht="15.75" customHeight="1" x14ac:dyDescent="0.3">
      <c r="A189">
        <v>93.5</v>
      </c>
      <c r="B189">
        <v>6.5</v>
      </c>
    </row>
    <row r="190" spans="1:2" ht="15.75" customHeight="1" x14ac:dyDescent="0.3">
      <c r="A190">
        <v>94</v>
      </c>
      <c r="B190">
        <v>6.6</v>
      </c>
    </row>
    <row r="191" spans="1:2" ht="15.75" customHeight="1" x14ac:dyDescent="0.3">
      <c r="A191">
        <v>94.5</v>
      </c>
      <c r="B191">
        <v>6.6</v>
      </c>
    </row>
    <row r="192" spans="1:2" ht="15.75" customHeight="1" x14ac:dyDescent="0.3">
      <c r="A192">
        <v>95</v>
      </c>
      <c r="B192">
        <v>6.6</v>
      </c>
    </row>
    <row r="193" spans="1:2" ht="15.75" customHeight="1" x14ac:dyDescent="0.3">
      <c r="A193">
        <v>95.5</v>
      </c>
      <c r="B193">
        <v>6.7</v>
      </c>
    </row>
    <row r="194" spans="1:2" ht="15.75" customHeight="1" x14ac:dyDescent="0.3">
      <c r="A194">
        <v>96</v>
      </c>
      <c r="B194">
        <v>6.7</v>
      </c>
    </row>
    <row r="195" spans="1:2" ht="15.75" customHeight="1" x14ac:dyDescent="0.3">
      <c r="A195">
        <v>96.5</v>
      </c>
      <c r="B195">
        <v>6.7</v>
      </c>
    </row>
    <row r="196" spans="1:2" ht="15.75" customHeight="1" x14ac:dyDescent="0.3">
      <c r="A196">
        <v>97</v>
      </c>
      <c r="B196">
        <v>6.8</v>
      </c>
    </row>
    <row r="197" spans="1:2" ht="15.75" customHeight="1" x14ac:dyDescent="0.3">
      <c r="A197">
        <v>97.5</v>
      </c>
      <c r="B197">
        <v>6.8</v>
      </c>
    </row>
    <row r="198" spans="1:2" ht="15.75" customHeight="1" x14ac:dyDescent="0.3">
      <c r="A198">
        <v>98</v>
      </c>
      <c r="B198">
        <v>6.9</v>
      </c>
    </row>
    <row r="199" spans="1:2" ht="15.75" customHeight="1" x14ac:dyDescent="0.3">
      <c r="A199">
        <v>98.5</v>
      </c>
      <c r="B199">
        <v>6.9</v>
      </c>
    </row>
    <row r="200" spans="1:2" ht="15.75" customHeight="1" x14ac:dyDescent="0.3">
      <c r="A200">
        <v>99</v>
      </c>
      <c r="B200">
        <v>6.9</v>
      </c>
    </row>
    <row r="201" spans="1:2" ht="15.75" customHeight="1" x14ac:dyDescent="0.3">
      <c r="A201">
        <v>99.5</v>
      </c>
      <c r="B201">
        <v>7</v>
      </c>
    </row>
    <row r="202" spans="1:2" ht="15.75" customHeight="1" x14ac:dyDescent="0.3">
      <c r="A202">
        <v>100</v>
      </c>
      <c r="B202">
        <v>7</v>
      </c>
    </row>
    <row r="203" spans="1:2" ht="15.75" customHeight="1" x14ac:dyDescent="0.3"/>
    <row r="204" spans="1:2" ht="15.75" customHeight="1" x14ac:dyDescent="0.3"/>
    <row r="205" spans="1:2" ht="15.75" customHeight="1" x14ac:dyDescent="0.3"/>
    <row r="206" spans="1:2" ht="15.75" customHeight="1" x14ac:dyDescent="0.3"/>
    <row r="207" spans="1:2" ht="15.75" customHeight="1" x14ac:dyDescent="0.3"/>
    <row r="208" spans="1:2"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4140625" defaultRowHeight="15" customHeight="1" x14ac:dyDescent="0.3"/>
  <cols>
    <col min="1" max="26" width="10.6640625" customWidth="1"/>
  </cols>
  <sheetData>
    <row r="1" spans="1:2" ht="14.4" x14ac:dyDescent="0.3">
      <c r="A1" t="s">
        <v>0</v>
      </c>
      <c r="B1" t="s">
        <v>1</v>
      </c>
    </row>
    <row r="2" spans="1:2" ht="14.4" x14ac:dyDescent="0.3">
      <c r="A2">
        <v>0</v>
      </c>
      <c r="B2" s="1">
        <v>1</v>
      </c>
    </row>
    <row r="3" spans="1:2" ht="14.4" x14ac:dyDescent="0.3">
      <c r="A3">
        <v>1</v>
      </c>
      <c r="B3" s="1">
        <v>1.1000000000000001</v>
      </c>
    </row>
    <row r="4" spans="1:2" ht="14.4" x14ac:dyDescent="0.3">
      <c r="A4">
        <v>2</v>
      </c>
      <c r="B4" s="1">
        <v>1.2</v>
      </c>
    </row>
    <row r="5" spans="1:2" ht="14.4" x14ac:dyDescent="0.3">
      <c r="A5">
        <v>3</v>
      </c>
      <c r="B5" s="1">
        <v>1.3</v>
      </c>
    </row>
    <row r="6" spans="1:2" ht="14.4" x14ac:dyDescent="0.3">
      <c r="A6">
        <v>4</v>
      </c>
      <c r="B6" s="1">
        <v>1.4</v>
      </c>
    </row>
    <row r="7" spans="1:2" ht="14.4" x14ac:dyDescent="0.3">
      <c r="A7">
        <v>5</v>
      </c>
      <c r="B7" s="1">
        <v>1.5</v>
      </c>
    </row>
    <row r="8" spans="1:2" ht="14.4" x14ac:dyDescent="0.3">
      <c r="A8">
        <v>6</v>
      </c>
      <c r="B8" s="1">
        <v>1.6</v>
      </c>
    </row>
    <row r="9" spans="1:2" ht="14.4" x14ac:dyDescent="0.3">
      <c r="A9">
        <v>7</v>
      </c>
      <c r="B9" s="1">
        <v>1.7</v>
      </c>
    </row>
    <row r="10" spans="1:2" ht="14.4" x14ac:dyDescent="0.3">
      <c r="A10">
        <v>8</v>
      </c>
      <c r="B10" s="1">
        <v>1.8</v>
      </c>
    </row>
    <row r="11" spans="1:2" ht="14.4" x14ac:dyDescent="0.3">
      <c r="A11">
        <v>9</v>
      </c>
      <c r="B11" s="1">
        <v>1.9</v>
      </c>
    </row>
    <row r="12" spans="1:2" ht="14.4" x14ac:dyDescent="0.3">
      <c r="A12">
        <v>10</v>
      </c>
      <c r="B12" s="1">
        <v>2</v>
      </c>
    </row>
    <row r="13" spans="1:2" ht="14.4" x14ac:dyDescent="0.3">
      <c r="A13">
        <v>11</v>
      </c>
      <c r="B13" s="1">
        <v>2.1</v>
      </c>
    </row>
    <row r="14" spans="1:2" ht="14.4" x14ac:dyDescent="0.3">
      <c r="A14">
        <v>12</v>
      </c>
      <c r="B14" s="1">
        <v>2.2000000000000002</v>
      </c>
    </row>
    <row r="15" spans="1:2" ht="14.4" x14ac:dyDescent="0.3">
      <c r="A15">
        <v>13</v>
      </c>
      <c r="B15" s="1">
        <v>2.2999999999999998</v>
      </c>
    </row>
    <row r="16" spans="1:2" ht="14.4" x14ac:dyDescent="0.3">
      <c r="A16">
        <v>14</v>
      </c>
      <c r="B16" s="1">
        <v>2.2999999999999998</v>
      </c>
    </row>
    <row r="17" spans="1:2" ht="14.4" x14ac:dyDescent="0.3">
      <c r="A17">
        <v>15</v>
      </c>
      <c r="B17" s="1">
        <v>2.4</v>
      </c>
    </row>
    <row r="18" spans="1:2" ht="14.4" x14ac:dyDescent="0.3">
      <c r="A18">
        <v>16</v>
      </c>
      <c r="B18" s="1">
        <v>2.5</v>
      </c>
    </row>
    <row r="19" spans="1:2" ht="14.4" x14ac:dyDescent="0.3">
      <c r="A19">
        <v>17</v>
      </c>
      <c r="B19" s="1">
        <v>2.6</v>
      </c>
    </row>
    <row r="20" spans="1:2" ht="14.4" x14ac:dyDescent="0.3">
      <c r="A20">
        <v>18</v>
      </c>
      <c r="B20" s="1">
        <v>2.7</v>
      </c>
    </row>
    <row r="21" spans="1:2" ht="15.75" customHeight="1" x14ac:dyDescent="0.3">
      <c r="A21">
        <v>19</v>
      </c>
      <c r="B21" s="1">
        <v>2.8</v>
      </c>
    </row>
    <row r="22" spans="1:2" ht="15.75" customHeight="1" x14ac:dyDescent="0.3">
      <c r="A22">
        <v>20</v>
      </c>
      <c r="B22" s="1">
        <v>2.9</v>
      </c>
    </row>
    <row r="23" spans="1:2" ht="15.75" customHeight="1" x14ac:dyDescent="0.3">
      <c r="A23">
        <v>21</v>
      </c>
      <c r="B23" s="1">
        <v>3</v>
      </c>
    </row>
    <row r="24" spans="1:2" ht="15.75" customHeight="1" x14ac:dyDescent="0.3">
      <c r="A24">
        <v>22</v>
      </c>
      <c r="B24" s="1">
        <v>3.1</v>
      </c>
    </row>
    <row r="25" spans="1:2" ht="15.75" customHeight="1" x14ac:dyDescent="0.3">
      <c r="A25">
        <v>23</v>
      </c>
      <c r="B25" s="1">
        <v>3.2</v>
      </c>
    </row>
    <row r="26" spans="1:2" ht="15.75" customHeight="1" x14ac:dyDescent="0.3">
      <c r="A26">
        <v>24</v>
      </c>
      <c r="B26" s="1">
        <v>3.3</v>
      </c>
    </row>
    <row r="27" spans="1:2" ht="15.75" customHeight="1" x14ac:dyDescent="0.3">
      <c r="A27">
        <v>25</v>
      </c>
      <c r="B27" s="1">
        <v>3.4</v>
      </c>
    </row>
    <row r="28" spans="1:2" ht="15.75" customHeight="1" x14ac:dyDescent="0.3">
      <c r="A28">
        <v>26</v>
      </c>
      <c r="B28" s="1">
        <v>3.5</v>
      </c>
    </row>
    <row r="29" spans="1:2" ht="15.75" customHeight="1" x14ac:dyDescent="0.3">
      <c r="A29">
        <v>27</v>
      </c>
      <c r="B29" s="1">
        <v>3.6</v>
      </c>
    </row>
    <row r="30" spans="1:2" ht="15.75" customHeight="1" x14ac:dyDescent="0.3">
      <c r="A30">
        <v>28</v>
      </c>
      <c r="B30" s="1">
        <v>3.7</v>
      </c>
    </row>
    <row r="31" spans="1:2" ht="15.75" customHeight="1" x14ac:dyDescent="0.3">
      <c r="A31">
        <v>29</v>
      </c>
      <c r="B31" s="1">
        <v>3.8</v>
      </c>
    </row>
    <row r="32" spans="1:2" ht="15.75" customHeight="1" x14ac:dyDescent="0.3">
      <c r="A32">
        <v>30</v>
      </c>
      <c r="B32" s="1">
        <v>3.9</v>
      </c>
    </row>
    <row r="33" spans="1:2" ht="15.75" customHeight="1" x14ac:dyDescent="0.3">
      <c r="A33">
        <v>31</v>
      </c>
      <c r="B33" s="1">
        <v>4</v>
      </c>
    </row>
    <row r="34" spans="1:2" ht="15.75" customHeight="1" x14ac:dyDescent="0.3">
      <c r="A34">
        <v>32</v>
      </c>
      <c r="B34" s="1">
        <v>4.0999999999999996</v>
      </c>
    </row>
    <row r="35" spans="1:2" ht="15.75" customHeight="1" x14ac:dyDescent="0.3">
      <c r="A35">
        <v>33</v>
      </c>
      <c r="B35" s="1">
        <v>4.3</v>
      </c>
    </row>
    <row r="36" spans="1:2" ht="15.75" customHeight="1" x14ac:dyDescent="0.3">
      <c r="A36">
        <v>34</v>
      </c>
      <c r="B36" s="1">
        <v>4.4000000000000004</v>
      </c>
    </row>
    <row r="37" spans="1:2" ht="15.75" customHeight="1" x14ac:dyDescent="0.3">
      <c r="A37">
        <v>35</v>
      </c>
      <c r="B37" s="1">
        <v>4.5</v>
      </c>
    </row>
    <row r="38" spans="1:2" ht="15.75" customHeight="1" x14ac:dyDescent="0.3">
      <c r="A38">
        <v>36</v>
      </c>
      <c r="B38" s="1">
        <v>4.7</v>
      </c>
    </row>
    <row r="39" spans="1:2" ht="15.75" customHeight="1" x14ac:dyDescent="0.3">
      <c r="A39">
        <v>37</v>
      </c>
      <c r="B39" s="1">
        <v>4.8</v>
      </c>
    </row>
    <row r="40" spans="1:2" ht="15.75" customHeight="1" x14ac:dyDescent="0.3">
      <c r="A40">
        <v>38</v>
      </c>
      <c r="B40" s="1">
        <v>5</v>
      </c>
    </row>
    <row r="41" spans="1:2" ht="15.75" customHeight="1" x14ac:dyDescent="0.3">
      <c r="A41">
        <v>39</v>
      </c>
      <c r="B41" s="1">
        <v>5.0999999999999996</v>
      </c>
    </row>
    <row r="42" spans="1:2" ht="15.75" customHeight="1" x14ac:dyDescent="0.3">
      <c r="A42">
        <v>40</v>
      </c>
      <c r="B42" s="1">
        <v>5.3</v>
      </c>
    </row>
    <row r="43" spans="1:2" ht="15.75" customHeight="1" x14ac:dyDescent="0.3">
      <c r="A43">
        <v>41</v>
      </c>
      <c r="B43" s="1">
        <v>5.4</v>
      </c>
    </row>
    <row r="44" spans="1:2" ht="15.75" customHeight="1" x14ac:dyDescent="0.3">
      <c r="A44">
        <v>42</v>
      </c>
      <c r="B44" s="1">
        <v>5.6</v>
      </c>
    </row>
    <row r="45" spans="1:2" ht="15.75" customHeight="1" x14ac:dyDescent="0.3">
      <c r="A45">
        <v>43</v>
      </c>
      <c r="B45" s="1">
        <v>5.7</v>
      </c>
    </row>
    <row r="46" spans="1:2" ht="15.75" customHeight="1" x14ac:dyDescent="0.3">
      <c r="A46">
        <v>44</v>
      </c>
      <c r="B46" s="1">
        <v>5.8</v>
      </c>
    </row>
    <row r="47" spans="1:2" ht="15.75" customHeight="1" x14ac:dyDescent="0.3">
      <c r="A47">
        <v>45</v>
      </c>
      <c r="B47" s="1">
        <v>6</v>
      </c>
    </row>
    <row r="48" spans="1:2" ht="15.75" customHeight="1" x14ac:dyDescent="0.3">
      <c r="A48">
        <v>46</v>
      </c>
      <c r="B48" s="1">
        <v>6.1</v>
      </c>
    </row>
    <row r="49" spans="1:2" ht="15.75" customHeight="1" x14ac:dyDescent="0.3">
      <c r="A49">
        <v>47</v>
      </c>
      <c r="B49" s="1">
        <v>6.3</v>
      </c>
    </row>
    <row r="50" spans="1:2" ht="15.75" customHeight="1" x14ac:dyDescent="0.3">
      <c r="A50">
        <v>48</v>
      </c>
      <c r="B50" s="1">
        <v>6.4</v>
      </c>
    </row>
    <row r="51" spans="1:2" ht="15.75" customHeight="1" x14ac:dyDescent="0.3">
      <c r="A51">
        <v>49</v>
      </c>
      <c r="B51" s="1">
        <v>6.6</v>
      </c>
    </row>
    <row r="52" spans="1:2" ht="15.75" customHeight="1" x14ac:dyDescent="0.3">
      <c r="A52">
        <v>50</v>
      </c>
      <c r="B52" s="1">
        <v>6.7</v>
      </c>
    </row>
    <row r="53" spans="1:2" ht="15.75" customHeight="1" x14ac:dyDescent="0.3">
      <c r="A53">
        <v>51</v>
      </c>
      <c r="B53" s="1">
        <v>6.9</v>
      </c>
    </row>
    <row r="54" spans="1:2" ht="15.75" customHeight="1" x14ac:dyDescent="0.3">
      <c r="A54">
        <v>52</v>
      </c>
      <c r="B54" s="1">
        <v>7</v>
      </c>
    </row>
    <row r="55" spans="1:2" ht="15.75" customHeight="1" x14ac:dyDescent="0.3"/>
    <row r="56" spans="1:2" ht="15.75" customHeight="1" x14ac:dyDescent="0.3"/>
    <row r="57" spans="1:2" ht="15.75" customHeight="1" x14ac:dyDescent="0.3"/>
    <row r="58" spans="1:2" ht="15.75" customHeight="1" x14ac:dyDescent="0.3"/>
    <row r="59" spans="1:2" ht="15.75" customHeight="1" x14ac:dyDescent="0.3"/>
    <row r="60" spans="1:2" ht="15.75" customHeight="1" x14ac:dyDescent="0.3"/>
    <row r="61" spans="1:2" ht="15.75" customHeight="1" x14ac:dyDescent="0.3"/>
    <row r="62" spans="1:2" ht="15.75" customHeight="1" x14ac:dyDescent="0.3"/>
    <row r="63" spans="1:2" ht="15.75" customHeight="1" x14ac:dyDescent="0.3"/>
    <row r="64" spans="1:2"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29" workbookViewId="0">
      <selection sqref="A1:B52"/>
    </sheetView>
  </sheetViews>
  <sheetFormatPr baseColWidth="10" defaultColWidth="14.44140625" defaultRowHeight="15" customHeight="1" x14ac:dyDescent="0.3"/>
  <cols>
    <col min="1" max="26" width="10.6640625" customWidth="1"/>
  </cols>
  <sheetData>
    <row r="1" spans="1:2" ht="14.4" x14ac:dyDescent="0.3">
      <c r="A1" t="s">
        <v>4</v>
      </c>
      <c r="B1" t="s">
        <v>13</v>
      </c>
    </row>
    <row r="2" spans="1:2" ht="14.4" x14ac:dyDescent="0.3">
      <c r="A2">
        <v>0</v>
      </c>
      <c r="B2">
        <v>1</v>
      </c>
    </row>
    <row r="3" spans="1:2" ht="14.4" x14ac:dyDescent="0.3">
      <c r="A3">
        <v>0.5</v>
      </c>
      <c r="B3">
        <v>1.1000000000000001</v>
      </c>
    </row>
    <row r="4" spans="1:2" ht="14.4" x14ac:dyDescent="0.3">
      <c r="A4">
        <v>1</v>
      </c>
      <c r="B4">
        <v>1.2</v>
      </c>
    </row>
    <row r="5" spans="1:2" ht="14.4" x14ac:dyDescent="0.3">
      <c r="A5">
        <v>1.5</v>
      </c>
      <c r="B5">
        <v>1.3</v>
      </c>
    </row>
    <row r="6" spans="1:2" ht="14.4" x14ac:dyDescent="0.3">
      <c r="A6">
        <v>2</v>
      </c>
      <c r="B6">
        <v>1.4</v>
      </c>
    </row>
    <row r="7" spans="1:2" ht="14.4" x14ac:dyDescent="0.3">
      <c r="A7">
        <v>2.5</v>
      </c>
      <c r="B7">
        <v>1.5</v>
      </c>
    </row>
    <row r="8" spans="1:2" ht="14.4" x14ac:dyDescent="0.3">
      <c r="A8">
        <v>3</v>
      </c>
      <c r="B8">
        <v>1.6</v>
      </c>
    </row>
    <row r="9" spans="1:2" ht="14.4" x14ac:dyDescent="0.3">
      <c r="A9">
        <v>3.5</v>
      </c>
      <c r="B9">
        <v>1.7</v>
      </c>
    </row>
    <row r="10" spans="1:2" ht="14.4" x14ac:dyDescent="0.3">
      <c r="A10">
        <v>4</v>
      </c>
      <c r="B10">
        <v>1.8</v>
      </c>
    </row>
    <row r="11" spans="1:2" ht="14.4" x14ac:dyDescent="0.3">
      <c r="A11">
        <v>4.5</v>
      </c>
      <c r="B11">
        <v>1.9</v>
      </c>
    </row>
    <row r="12" spans="1:2" ht="14.4" x14ac:dyDescent="0.3">
      <c r="A12">
        <v>5</v>
      </c>
      <c r="B12">
        <v>2</v>
      </c>
    </row>
    <row r="13" spans="1:2" ht="14.4" x14ac:dyDescent="0.3">
      <c r="A13">
        <v>5.5</v>
      </c>
      <c r="B13">
        <v>2.1</v>
      </c>
    </row>
    <row r="14" spans="1:2" ht="14.4" x14ac:dyDescent="0.3">
      <c r="A14">
        <v>6</v>
      </c>
      <c r="B14">
        <v>2.2000000000000002</v>
      </c>
    </row>
    <row r="15" spans="1:2" ht="14.4" x14ac:dyDescent="0.3">
      <c r="A15">
        <v>6.5</v>
      </c>
      <c r="B15">
        <v>2.2999999999999998</v>
      </c>
    </row>
    <row r="16" spans="1:2" ht="14.4" x14ac:dyDescent="0.3">
      <c r="A16">
        <v>7</v>
      </c>
      <c r="B16">
        <v>2.4</v>
      </c>
    </row>
    <row r="17" spans="1:2" ht="14.4" x14ac:dyDescent="0.3">
      <c r="A17">
        <v>7.5</v>
      </c>
      <c r="B17">
        <v>2.5</v>
      </c>
    </row>
    <row r="18" spans="1:2" ht="14.4" x14ac:dyDescent="0.3">
      <c r="A18">
        <v>8</v>
      </c>
      <c r="B18">
        <v>2.6</v>
      </c>
    </row>
    <row r="19" spans="1:2" ht="14.4" x14ac:dyDescent="0.3">
      <c r="A19">
        <v>8.5</v>
      </c>
      <c r="B19">
        <v>2.7</v>
      </c>
    </row>
    <row r="20" spans="1:2" ht="14.4" x14ac:dyDescent="0.3">
      <c r="A20">
        <v>9</v>
      </c>
      <c r="B20">
        <v>2.8</v>
      </c>
    </row>
    <row r="21" spans="1:2" ht="15.75" customHeight="1" x14ac:dyDescent="0.3">
      <c r="A21">
        <v>9.5</v>
      </c>
      <c r="B21">
        <v>2.9</v>
      </c>
    </row>
    <row r="22" spans="1:2" ht="15.75" customHeight="1" x14ac:dyDescent="0.3">
      <c r="A22">
        <v>10</v>
      </c>
      <c r="B22">
        <v>3</v>
      </c>
    </row>
    <row r="23" spans="1:2" ht="15.75" customHeight="1" x14ac:dyDescent="0.3">
      <c r="A23">
        <v>10.5</v>
      </c>
      <c r="B23">
        <v>3.1</v>
      </c>
    </row>
    <row r="24" spans="1:2" ht="15.75" customHeight="1" x14ac:dyDescent="0.3">
      <c r="A24">
        <v>11</v>
      </c>
      <c r="B24">
        <v>3.2</v>
      </c>
    </row>
    <row r="25" spans="1:2" ht="15.75" customHeight="1" x14ac:dyDescent="0.3">
      <c r="A25">
        <v>11.5</v>
      </c>
      <c r="B25">
        <v>3.3</v>
      </c>
    </row>
    <row r="26" spans="1:2" ht="15.75" customHeight="1" x14ac:dyDescent="0.3">
      <c r="A26">
        <v>12</v>
      </c>
      <c r="B26">
        <v>3.4</v>
      </c>
    </row>
    <row r="27" spans="1:2" ht="15.75" customHeight="1" x14ac:dyDescent="0.3">
      <c r="A27">
        <v>12.5</v>
      </c>
      <c r="B27">
        <v>3.5</v>
      </c>
    </row>
    <row r="28" spans="1:2" ht="15.75" customHeight="1" x14ac:dyDescent="0.3">
      <c r="A28">
        <v>13</v>
      </c>
      <c r="B28">
        <v>3.6</v>
      </c>
    </row>
    <row r="29" spans="1:2" ht="15.75" customHeight="1" x14ac:dyDescent="0.3">
      <c r="A29">
        <v>13.5</v>
      </c>
      <c r="B29">
        <v>3.7</v>
      </c>
    </row>
    <row r="30" spans="1:2" ht="15.75" customHeight="1" x14ac:dyDescent="0.3">
      <c r="A30">
        <v>14</v>
      </c>
      <c r="B30">
        <v>3.8</v>
      </c>
    </row>
    <row r="31" spans="1:2" ht="15.75" customHeight="1" x14ac:dyDescent="0.3">
      <c r="A31">
        <v>14.5</v>
      </c>
      <c r="B31">
        <v>3.9</v>
      </c>
    </row>
    <row r="32" spans="1:2" ht="15.75" customHeight="1" x14ac:dyDescent="0.3">
      <c r="A32">
        <v>15</v>
      </c>
      <c r="B32">
        <v>4</v>
      </c>
    </row>
    <row r="33" spans="1:2" ht="15.75" customHeight="1" x14ac:dyDescent="0.3">
      <c r="A33">
        <v>15.5</v>
      </c>
      <c r="B33">
        <v>4.2</v>
      </c>
    </row>
    <row r="34" spans="1:2" ht="15.75" customHeight="1" x14ac:dyDescent="0.3">
      <c r="A34">
        <v>16</v>
      </c>
      <c r="B34">
        <v>4.3</v>
      </c>
    </row>
    <row r="35" spans="1:2" ht="15.75" customHeight="1" x14ac:dyDescent="0.3">
      <c r="A35">
        <v>16.5</v>
      </c>
      <c r="B35">
        <v>4.5</v>
      </c>
    </row>
    <row r="36" spans="1:2" ht="15.75" customHeight="1" x14ac:dyDescent="0.3">
      <c r="A36">
        <v>17</v>
      </c>
      <c r="B36">
        <v>4.5999999999999996</v>
      </c>
    </row>
    <row r="37" spans="1:2" ht="15.75" customHeight="1" x14ac:dyDescent="0.3">
      <c r="A37">
        <v>17.5</v>
      </c>
      <c r="B37">
        <v>4.8</v>
      </c>
    </row>
    <row r="38" spans="1:2" ht="15.75" customHeight="1" x14ac:dyDescent="0.3">
      <c r="A38">
        <v>18</v>
      </c>
      <c r="B38">
        <v>4.9000000000000004</v>
      </c>
    </row>
    <row r="39" spans="1:2" ht="15.75" customHeight="1" x14ac:dyDescent="0.3">
      <c r="A39">
        <v>18.5</v>
      </c>
      <c r="B39">
        <v>5.0999999999999996</v>
      </c>
    </row>
    <row r="40" spans="1:2" ht="15.75" customHeight="1" x14ac:dyDescent="0.3">
      <c r="A40">
        <v>19</v>
      </c>
      <c r="B40">
        <v>5.2</v>
      </c>
    </row>
    <row r="41" spans="1:2" ht="15.75" customHeight="1" x14ac:dyDescent="0.3">
      <c r="A41">
        <v>19.5</v>
      </c>
      <c r="B41">
        <v>5.4</v>
      </c>
    </row>
    <row r="42" spans="1:2" ht="15.75" customHeight="1" x14ac:dyDescent="0.3">
      <c r="A42">
        <v>20</v>
      </c>
      <c r="B42">
        <v>5.5</v>
      </c>
    </row>
    <row r="43" spans="1:2" ht="15.75" customHeight="1" x14ac:dyDescent="0.3">
      <c r="A43">
        <v>20.5</v>
      </c>
      <c r="B43">
        <v>5.7</v>
      </c>
    </row>
    <row r="44" spans="1:2" ht="15.75" customHeight="1" x14ac:dyDescent="0.3">
      <c r="A44">
        <v>21</v>
      </c>
      <c r="B44">
        <v>5.8</v>
      </c>
    </row>
    <row r="45" spans="1:2" ht="15.75" customHeight="1" x14ac:dyDescent="0.3">
      <c r="A45">
        <v>21.5</v>
      </c>
      <c r="B45">
        <v>6</v>
      </c>
    </row>
    <row r="46" spans="1:2" ht="15.75" customHeight="1" x14ac:dyDescent="0.3">
      <c r="A46">
        <v>22</v>
      </c>
      <c r="B46">
        <v>6.1</v>
      </c>
    </row>
    <row r="47" spans="1:2" ht="15.75" customHeight="1" x14ac:dyDescent="0.3">
      <c r="A47">
        <v>22.5</v>
      </c>
      <c r="B47">
        <v>6.3</v>
      </c>
    </row>
    <row r="48" spans="1:2" ht="15.75" customHeight="1" x14ac:dyDescent="0.3">
      <c r="A48">
        <v>23</v>
      </c>
      <c r="B48">
        <v>6.4</v>
      </c>
    </row>
    <row r="49" spans="1:2" ht="15.75" customHeight="1" x14ac:dyDescent="0.3">
      <c r="A49">
        <v>23.5</v>
      </c>
      <c r="B49">
        <v>6.6</v>
      </c>
    </row>
    <row r="50" spans="1:2" ht="15.75" customHeight="1" x14ac:dyDescent="0.3">
      <c r="A50">
        <v>24</v>
      </c>
      <c r="B50">
        <v>6.7</v>
      </c>
    </row>
    <row r="51" spans="1:2" ht="15.75" customHeight="1" x14ac:dyDescent="0.3">
      <c r="A51">
        <v>24.5</v>
      </c>
      <c r="B51">
        <v>6.9</v>
      </c>
    </row>
    <row r="52" spans="1:2" ht="15.75" customHeight="1" x14ac:dyDescent="0.3">
      <c r="A52">
        <v>25</v>
      </c>
      <c r="B52">
        <v>7</v>
      </c>
    </row>
    <row r="53" spans="1:2" ht="15.75" customHeight="1" x14ac:dyDescent="0.3">
      <c r="B53" s="1"/>
    </row>
    <row r="54" spans="1:2" ht="15.75" customHeight="1" x14ac:dyDescent="0.3">
      <c r="B54" s="1"/>
    </row>
    <row r="55" spans="1:2" ht="15.75" customHeight="1" x14ac:dyDescent="0.3"/>
    <row r="56" spans="1:2" ht="15.75" customHeight="1" x14ac:dyDescent="0.3"/>
    <row r="57" spans="1:2" ht="15.75" customHeight="1" x14ac:dyDescent="0.3"/>
    <row r="58" spans="1:2" ht="15.75" customHeight="1" x14ac:dyDescent="0.3"/>
    <row r="59" spans="1:2" ht="15.75" customHeight="1" x14ac:dyDescent="0.3"/>
    <row r="60" spans="1:2" ht="15.75" customHeight="1" x14ac:dyDescent="0.3"/>
    <row r="61" spans="1:2" ht="15.75" customHeight="1" x14ac:dyDescent="0.3"/>
    <row r="62" spans="1:2" ht="15.75" customHeight="1" x14ac:dyDescent="0.3"/>
    <row r="63" spans="1:2" ht="15.75" customHeight="1" x14ac:dyDescent="0.3"/>
    <row r="64" spans="1:2"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4140625" defaultRowHeight="15" customHeight="1" x14ac:dyDescent="0.3"/>
  <cols>
    <col min="1" max="25" width="10.6640625" customWidth="1"/>
  </cols>
  <sheetData>
    <row r="1" spans="1:5" ht="14.4" x14ac:dyDescent="0.3">
      <c r="A1" s="53" t="s">
        <v>3</v>
      </c>
      <c r="B1" s="6" t="s">
        <v>4</v>
      </c>
      <c r="C1" s="7"/>
      <c r="D1" s="7"/>
      <c r="E1" s="8"/>
    </row>
    <row r="2" spans="1:5" ht="43.8" thickBot="1" x14ac:dyDescent="0.35">
      <c r="A2" s="54"/>
      <c r="B2" s="9" t="s">
        <v>5</v>
      </c>
      <c r="C2" s="10" t="s">
        <v>6</v>
      </c>
      <c r="D2" s="29" t="s">
        <v>24</v>
      </c>
      <c r="E2" s="11" t="s">
        <v>7</v>
      </c>
    </row>
    <row r="3" spans="1:5" ht="29.4" thickBot="1" x14ac:dyDescent="0.35">
      <c r="A3" s="12" t="s">
        <v>8</v>
      </c>
      <c r="B3" s="13">
        <v>4</v>
      </c>
      <c r="C3" s="13">
        <v>3</v>
      </c>
      <c r="D3" s="13">
        <v>2</v>
      </c>
      <c r="E3" s="13">
        <v>0</v>
      </c>
    </row>
    <row r="4" spans="1:5" thickBot="1" x14ac:dyDescent="0.35">
      <c r="A4" s="12"/>
      <c r="B4" s="13"/>
      <c r="C4" s="13"/>
      <c r="D4" s="13"/>
      <c r="E4" s="13"/>
    </row>
    <row r="5" spans="1:5" thickBot="1" x14ac:dyDescent="0.35">
      <c r="A5" s="12"/>
      <c r="B5" s="13"/>
      <c r="C5" s="13"/>
      <c r="D5" s="13"/>
      <c r="E5" s="13"/>
    </row>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1">
    <mergeCell ref="A1:A2"/>
  </mergeCells>
  <pageMargins left="0.7" right="0.7" top="0.75" bottom="0.75" header="0" footer="0"/>
  <pageSetup orientation="landscape"/>
</worksheet>
</file>

<file path=xl/worksheets/sheet13.xml><?xml version="1.0" encoding="utf-8"?>
<x:worksheet xmlns:x="http://schemas.openxmlformats.org/spreadsheetml/2006/main">
  <x:sheetViews>
    <x:sheetView showGridLines="0" workbookViewId="0">
      <x:pane xSplit="1" ySplit="6" topLeftCell="B7" activePane="bottomRight" state="frozen"/>
    </x:sheetView>
  </x:sheetViews>
  <x:sheetFormatPr defaultRowHeight="15"/>
  <x:cols>
    <x:col min="1" max="1" width="23.75" hidden="0" customWidth="1"/>
    <x:col min="2" max="2" width="48.75" hidden="0" customWidth="1"/>
    <x:col min="3" max="3" width="48.75" hidden="0" customWidth="1"/>
    <x:col min="4" max="4" width="18.75" hidden="0" customWidth="1"/>
    <x:col min="5" max="5" width="50" hidden="0" customWidth="1"/>
    <x:col min="6" max="6" width="20" hidden="0" customWidth="1"/>
  </x:cols>
  <x:sheetData>
    <x:row r="1" ht="26" customHeight="1">
      <x:c r="A1" s="123" t="str">
        <x:v>Evidencias del equipo para evaluación</x:v>
      </x:c>
      <x:c r="B1" s="122"/>
      <x:c r="C1" s="122"/>
      <x:c r="D1" s="122"/>
      <x:c r="E1" s="122"/>
      <x:c r="F1" s="122"/>
    </x:row>
    <x:row r="2" ht="26" customHeight="1">
      <x:c r="A2" s="122" t="str">
        <x:v>Ociel Escobar y Sebastian Torres · Ingeniería en Informática · Sección 007V</x:v>
      </x:c>
      <x:c r="B2" s="122"/>
      <x:c r="C2" s="122"/>
      <x:c r="D2" s="122"/>
      <x:c r="E2" s="122"/>
      <x:c r="F2" s="122"/>
    </x:row>
    <x:row r="3" ht="26" customHeight="1">
      <x:c r="A3" s="122" t="str">
        <x:v>Docente Ernesto Velasquez · Corte documental 21-10-2026</x:v>
      </x:c>
      <x:c r="B3" s="122"/>
      <x:c r="C3" s="122"/>
      <x:c r="D3" s="122"/>
      <x:c r="E3" s="122"/>
      <x:c r="F3" s="122"/>
    </x:row>
    <x:row r="4" ht="26" customHeight="1">
      <x:c r="A4" s="122" t="str">
        <x:v>Las calificaciones y niveles están reservados al docente. No se asignan notas al completar esta planilla.</x:v>
      </x:c>
      <x:c r="B4" s="122"/>
      <x:c r="C4" s="122"/>
      <x:c r="D4" s="122"/>
      <x:c r="E4" s="122"/>
      <x:c r="F4" s="122"/>
    </x:row>
    <x:row r="5">
      <x:c r="A5" s="122"/>
      <x:c r="B5" s="122"/>
      <x:c r="C5" s="122"/>
      <x:c r="D5" s="122"/>
      <x:c r="E5" s="122"/>
      <x:c r="F5" s="122"/>
    </x:row>
    <x:row r="6" ht="40" customHeight="1">
      <x:c r="A6" s="128" t="str">
        <x:v>Aspecto</x:v>
      </x:c>
      <x:c r="B6" s="128" t="str">
        <x:v>Evidencia disponible</x:v>
      </x:c>
      <x:c r="C6" s="128" t="str">
        <x:v>Ubicación desde Fase 2</x:v>
      </x:c>
      <x:c r="D6" s="128" t="str">
        <x:v>Estado real</x:v>
      </x:c>
      <x:c r="E6" s="128" t="str">
        <x:v>Pendiente de completar o demostrar</x:v>
      </x:c>
      <x:c r="F6" s="128" t="str">
        <x:v>Responsable</x:v>
      </x:c>
    </x:row>
    <x:row r="7" ht="96" customHeight="1">
      <x:c r="A7" s="130" t="str">
        <x:v>Identificación</x:v>
      </x:c>
      <x:c r="B7" s="130" t="str">
        <x:v>Ociel Escobar y Sebastian Torres</x:v>
      </x:c>
      <x:c r="C7" s="130" t="str">
        <x:v>Ingeniería en Informática · 007V</x:v>
      </x:c>
      <x:c r="D7" s="130" t="str">
        <x:v>Confirmado</x:v>
      </x:c>
      <x:c r="E7" s="130" t="str">
        <x:v>Docente Ernesto Velasquez</x:v>
      </x:c>
      <x:c r="F7" s="130" t="str">
        <x:v>Equipo</x:v>
      </x:c>
    </x:row>
    <x:row r="8" ht="96" customHeight="1">
      <x:c r="A8" s="129" t="str">
        <x:v>Metodología</x:v>
      </x:c>
      <x:c r="B8" s="129" t="str">
        <x:v>Revisión incremental; HU, RNF, tareas y pruebas relacionadas</x:v>
      </x:c>
      <x:c r="C8" s="129" t="str">
        <x:v>Evidencias de documentación/Product Backlog.xlsx y Sprint Backlog.xlsx</x:v>
      </x:c>
      <x:c r="D8" s="129" t="str">
        <x:v>Documentado</x:v>
      </x:c>
      <x:c r="E8" s="129" t="str">
        <x:v>Fechas y acuerdos de sprints por confirmar; no acreditar ceremonias sin acta</x:v>
      </x:c>
      <x:c r="F8" s="129" t="str">
        <x:v>Equipo</x:v>
      </x:c>
    </x:row>
    <x:row r="9" ht="96" customHeight="1">
      <x:c r="A9" s="130" t="str">
        <x:v>Programación</x:v>
      </x:c>
      <x:c r="B9" s="130" t="str">
        <x:v>JSON de 39 nodos; 14 funciones JS; revisión de 45 conexiones</x:v>
      </x:c>
      <x:c r="C9" s="130" t="str">
        <x:v>Evidencias de sistema/Aplicación/01_Flujo_actual_PID_R2.json</x:v>
      </x:c>
      <x:c r="D9" s="130" t="str">
        <x:v>Disponible</x:v>
      </x:c>
      <x:c r="E9" s="130" t="str">
        <x:v>Validación integrada de n8n pendiente</x:v>
      </x:c>
      <x:c r="F9" s="130" t="str">
        <x:v>Equipo</x:v>
      </x:c>
    </x:row>
    <x:row r="10" ht="96" customHeight="1">
      <x:c r="A10" s="129" t="str">
        <x:v>Datos</x:v>
      </x:c>
      <x:c r="B10" s="129" t="str">
        <x:v>Nueve nodos SQL, siete objetos consultados, contratos observados</x:v>
      </x:c>
      <x:c r="C10" s="129" t="str">
        <x:v>Evidencias de sistema/Base de datos/</x:v>
      </x:c>
      <x:c r="D10" s="129" t="str">
        <x:v>Fuente disponible</x:v>
      </x:c>
      <x:c r="E10" s="129" t="str">
        <x:v>Completar registros SQL con resultados auténticos; sin DDL confirmado</x:v>
      </x:c>
      <x:c r="F10" s="129" t="str">
        <x:v>Ociel Escobar (propuesta)</x:v>
      </x:c>
    </x:row>
    <x:row r="11" ht="96" customHeight="1">
      <x:c r="A11" s="130" t="str">
        <x:v>Pruebas</x:v>
      </x:c>
      <x:c r="B11" s="130" t="str">
        <x:v>12 casos locales: 7 aprobados y 5 fallidos; 18 de integración pendientes</x:v>
      </x:c>
      <x:c r="C11" s="130" t="str">
        <x:v>Evidencias de documentación/Pruebas.xlsx; Evidencias de sistema/Aplicación/Pruebas locales/Resultados/</x:v>
      </x:c>
      <x:c r="D11" s="130" t="str">
        <x:v>Parcial</x:v>
      </x:c>
      <x:c r="E11" s="130" t="str">
        <x:v>Corregir fechas, término, mes siguiente, plazo final y simulación</x:v>
      </x:c>
      <x:c r="F11" s="130" t="str">
        <x:v>Equipo</x:v>
      </x:c>
    </x:row>
    <x:row r="12" ht="96" customHeight="1">
      <x:c r="A12" s="129" t="str">
        <x:v>Lenguaje y redacción</x:v>
      </x:c>
      <x:c r="B12" s="129" t="str">
        <x:v>UML, modelo lógico, criterios verificables y referencias internas</x:v>
      </x:c>
      <x:c r="C12" s="129" t="str">
        <x:v>Evidencias de documentación/ y guías grupales completadas</x:v>
      </x:c>
      <x:c r="D12" s="129" t="str">
        <x:v>Preparado</x:v>
      </x:c>
      <x:c r="E12" s="129" t="str">
        <x:v>Revisión conjunta y evaluación de calidad por el docente</x:v>
      </x:c>
      <x:c r="F12" s="129" t="str">
        <x:v>Equipo</x:v>
      </x:c>
    </x:row>
    <x:row r="13" ht="96" customHeight="1">
      <x:c r="A13" s="130" t="str">
        <x:v>Estructura de entrega y Git</x:v>
      </x:c>
      <x:c r="B13" s="130" t="str">
        <x:v>Archivos organizados en Fase 2; historial anterior observable</x:v>
      </x:c>
      <x:c r="C13" s="130" t="str">
        <x:v>Fase 2/ y repositorio Capstone.OE.ST</x:v>
      </x:c>
      <x:c r="D13" s="130" t="str">
        <x:v>Pendiente de Git</x:v>
      </x:c>
      <x:c r="E13" s="130" t="str">
        <x:v>Fase 2 sin seguimiento al 21-10-2026; registrar cambios reales</x:v>
      </x:c>
      <x:c r="F13" s="130" t="str">
        <x:v>Equipo</x:v>
      </x:c>
    </x:row>
    <x:row r="14" ht="96" customHeight="1">
      <x:c r="A14" s="129" t="str">
        <x:v>Aportes y exposición</x:v>
      </x:c>
      <x:c r="B14" s="129" t="str">
        <x:v>Integrantes identificados; tareas propuestas por responsable</x:v>
      </x:c>
      <x:c r="C14" s="129" t="str">
        <x:v>Sprint Backlog.xlsx; historial Git previo</x:v>
      </x:c>
      <x:c r="D14" s="129" t="str">
        <x:v>Por demostrar</x:v>
      </x:c>
      <x:c r="E14" s="129" t="str">
        <x:v>No acreditar equidad ni dominio oral sin evidencia individual y exposición</x:v>
      </x:c>
      <x:c r="F14" s="129" t="str">
        <x:v>Equipo</x:v>
      </x:c>
    </x:row>
  </x:sheetData>
  <x:pageMargins left="0.7" right="0.7" top="0.75" bottom="0.75" header="0.3" footer="0.3"/>
</x: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EVALUACION2</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Gerardo Galan Cruz</dc:creator>
  <cp:lastModifiedBy>Gerardo enrique Galan Cruz</cp:lastModifiedBy>
  <dcterms:created xsi:type="dcterms:W3CDTF">2023-08-07T04:08:01Z</dcterms:created>
  <dcterms:modified xsi:type="dcterms:W3CDTF">2024-09-23T05:31:15Z</dcterms:modified>
</cp:coreProperties>
</file>