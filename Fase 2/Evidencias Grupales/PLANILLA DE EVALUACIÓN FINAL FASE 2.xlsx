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3.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746" documentId="8_{2EFDF332-31E9-4C74-A6B5-E695634C1C45}" xr6:coauthVersionLast="47" xr6:coauthVersionMax="47" xr10:uidLastSave="{A524BC42-4BE6-4992-8E50-65D453B1EC65}"/>
  <bookViews>
    <workbookView xWindow="-108" yWindow="-108" windowWidth="23256" windowHeight="12456"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 name="Evidencias del equipo" sheetId="13" r:id="rId11"/>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<sst xmlns="http://schemas.openxmlformats.org/spreadsheetml/2006/main" count="135" uniqueCount="76">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</sst>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1"/>
      <color rgb="FF172B3A"/>
      <name val="Arial"/>
    </font>
    <font>
      <b/>
      <sz val="15"/>
      <color rgb="FF000000"/>
      <name val="Arial"/>
    </font>
    <font>
      <b/>
      <sz val="11"/>
      <color rgb="FFFFFFFF"/>
      <name val="Arial"/>
    </font>
  </fonts>
  <fills count="22">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
      <patternFill patternType="none"/>
    </fill>
    <fill>
      <patternFill patternType="gray125"/>
    </fill>
    <fill>
      <patternFill patternType="solid">
        <fgColor rgb="FFECECEC"/>
      </patternFill>
    </fill>
    <fill>
      <patternFill patternType="solid">
        <fgColor rgb="FFDEEAF6"/>
      </patternFill>
    </fill>
    <fill>
      <patternFill patternType="solid">
        <fgColor rgb="FFD9D9D9"/>
      </patternFill>
    </fill>
    <fill>
      <patternFill patternType="solid">
        <fgColor rgb="FFFEF2CB"/>
      </patternFill>
    </fill>
    <fill>
      <patternFill patternType="solid">
        <fgColor rgb="FFD8D8D8"/>
      </patternFill>
    </fill>
    <fill>
      <patternFill patternType="solid">
        <fgColor rgb="FFE2EFD9"/>
      </patternFill>
    </fill>
    <fill>
      <patternFill patternType="solid">
        <fgColor rgb="FF262626"/>
      </patternFill>
    </fill>
    <fill>
      <patternFill patternType="solid">
        <fgColor rgb="FF92D050"/>
      </patternFill>
    </fill>
    <fill>
      <patternFill patternType="solid">
        <fgColor rgb="FF243746"/>
      </patternFill>
    </fill>
    <fill>
      <patternFill patternType="solid">
        <fgColor rgb="FFEEF3F7"/>
      </patternFill>
    </fill>
  </fills>
  <borders count="5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2">
    <xf numFmtId="0" fontId="0" fillId="0" borderId="0"/>
    <xf numFmtId="0" fontId="17" fillId="10" borderId="29"/>
  </cellStyleXfs>
  <cellXfs count="15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9" fillId="0" borderId="16" xfId="0" applyFont="1" applyBorder="1" applyAlignment="1">
      <alignment horizontal="left"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25"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xf numFmtId="0" fontId="1" fillId="4" borderId="12" xfId="0" applyFont="1" applyFill="1" applyBorder="1" applyAlignment="1">
      <alignment vertical="center" wrapText="1"/>
    </xf>
    <xf numFmtId="0" fontId="17" fillId="10" borderId="29" xfId="1"/>
    <xf numFmtId="165" fontId="17" fillId="10" borderId="29" xfId="1" applyNumberFormat="1"/>
    <xf numFmtId="9" fontId="17" fillId="12" borderId="30" xfId="1" applyNumberFormat="1" applyFill="1" applyBorder="1" applyAlignment="1">
      <alignment horizontal="center" vertical="center" wrapText="1"/>
    </xf>
    <xf numFmtId="0" fontId="18" fillId="10" borderId="29" xfId="1" applyFont="1"/>
    <xf numFmtId="0" fontId="17" fillId="10" borderId="29" xfId="1" applyAlignment="1">
      <alignment horizontal="right" vertical="center"/>
    </xf>
    <xf numFmtId="165" fontId="17" fillId="12" borderId="30" xfId="1" applyNumberFormat="1" applyFill="1" applyBorder="1" applyAlignment="1">
      <alignment horizontal="center"/>
    </xf>
    <xf numFmtId="165" fontId="17" fillId="13" borderId="30" xfId="1" applyNumberFormat="1" applyFill="1" applyBorder="1" applyAlignment="1">
      <alignment horizontal="center"/>
    </xf>
    <xf numFmtId="0" fontId="18" fillId="14" borderId="35" xfId="1" applyFont="1" applyFill="1" applyBorder="1" applyAlignment="1">
      <alignment vertical="center" wrapText="1"/>
    </xf>
    <xf numFmtId="0" fontId="18" fillId="14" borderId="36" xfId="1" applyFont="1" applyFill="1" applyBorder="1" applyAlignment="1">
      <alignment vertical="center" wrapText="1"/>
    </xf>
    <xf numFmtId="0" fontId="18" fillId="14" borderId="37" xfId="1" applyFont="1" applyFill="1" applyBorder="1" applyAlignment="1">
      <alignment vertical="center" wrapText="1"/>
    </xf>
    <xf numFmtId="0" fontId="18" fillId="14" borderId="39" xfId="1" applyFont="1" applyFill="1" applyBorder="1" applyAlignment="1">
      <alignment vertical="center" wrapText="1"/>
    </xf>
    <xf numFmtId="0" fontId="18" fillId="14" borderId="40" xfId="1" applyFont="1" applyFill="1" applyBorder="1" applyAlignment="1">
      <alignment vertical="center" wrapText="1"/>
    </xf>
    <xf numFmtId="0" fontId="18" fillId="10" borderId="38" xfId="1" applyFont="1" applyBorder="1" applyAlignment="1">
      <alignment horizontal="left" vertical="center" wrapText="1"/>
    </xf>
    <xf numFmtId="0" fontId="18" fillId="10" borderId="41" xfId="1" applyFont="1" applyBorder="1" applyAlignment="1">
      <alignment horizontal="left" vertical="center" wrapText="1"/>
    </xf>
    <xf numFmtId="0" fontId="21" fillId="14" borderId="30" xfId="1" applyFont="1" applyFill="1" applyBorder="1" applyAlignment="1">
      <alignment horizontal="center" vertical="center"/>
    </xf>
    <xf numFmtId="0" fontId="22" fillId="14" borderId="30" xfId="1" applyFont="1" applyFill="1" applyBorder="1" applyAlignment="1">
      <alignment horizontal="center" vertical="center"/>
    </xf>
    <xf numFmtId="0" fontId="24" fillId="10" borderId="30" xfId="1" applyFont="1" applyBorder="1" applyAlignment="1">
      <alignment horizontal="center" vertical="center"/>
    </xf>
    <xf numFmtId="0" fontId="23" fillId="10" borderId="30" xfId="1" applyFont="1" applyBorder="1" applyAlignment="1">
      <alignment horizontal="right" vertical="center" wrapText="1"/>
    </xf>
    <xf numFmtId="0" fontId="25" fillId="10" borderId="30" xfId="1" applyFont="1" applyBorder="1"/>
    <xf numFmtId="0" fontId="17" fillId="16" borderId="30" xfId="1" applyFill="1" applyBorder="1"/>
    <xf numFmtId="165" fontId="25" fillId="10" borderId="30" xfId="1" applyNumberFormat="1" applyFont="1" applyBorder="1"/>
    <xf numFmtId="0" fontId="18" fillId="10" borderId="30" xfId="1" applyFont="1" applyBorder="1" applyAlignment="1">
      <alignment horizontal="right" vertical="center" wrapText="1"/>
    </xf>
    <xf numFmtId="0" fontId="23" fillId="10" borderId="29" xfId="1" applyFont="1" applyAlignment="1">
      <alignment horizontal="right" vertical="center" wrapText="1"/>
    </xf>
    <xf numFmtId="165" fontId="25" fillId="10" borderId="29" xfId="1" applyNumberFormat="1" applyFont="1"/>
    <xf numFmtId="0" fontId="22" fillId="14" borderId="31" xfId="1" applyFont="1" applyFill="1" applyBorder="1" applyAlignment="1">
      <alignment horizontal="center" vertical="center"/>
    </xf>
    <xf numFmtId="0" fontId="30" fillId="10" borderId="51" xfId="1" applyFont="1" applyBorder="1" applyAlignment="1">
      <alignment horizontal="justify" vertical="center" wrapText="1"/>
    </xf>
    <xf numFmtId="0" fontId="30" fillId="10" borderId="52" xfId="1" applyFont="1" applyBorder="1" applyAlignment="1">
      <alignment horizontal="justify" vertical="center" wrapText="1"/>
    </xf>
    <xf numFmtId="0" fontId="31" fillId="10" borderId="33" xfId="1" applyFont="1" applyBorder="1" applyAlignment="1">
      <alignment horizontal="left"/>
    </xf>
    <xf numFmtId="0" fontId="24" fillId="10" borderId="43" xfId="1" applyFont="1" applyBorder="1" applyAlignment="1">
      <alignment horizontal="left" vertical="center"/>
    </xf>
    <xf numFmtId="0" fontId="23" fillId="10" borderId="32" xfId="1" applyFont="1" applyBorder="1" applyAlignment="1">
      <alignment horizontal="right" vertical="center" wrapText="1"/>
    </xf>
    <xf numFmtId="0" fontId="23" fillId="10" borderId="53" xfId="1" applyFont="1" applyBorder="1" applyAlignment="1">
      <alignment horizontal="left" vertical="center" wrapText="1"/>
    </xf>
    <xf numFmtId="0" fontId="32" fillId="14" borderId="40" xfId="1" applyFont="1" applyFill="1" applyBorder="1" applyAlignment="1">
      <alignment vertical="center" wrapText="1"/>
    </xf>
    <xf numFmtId="0" fontId="23" fillId="10" borderId="33" xfId="1" applyFont="1" applyBorder="1" applyAlignment="1">
      <alignment horizontal="right" vertical="center" wrapText="1"/>
    </xf>
    <xf numFmtId="0" fontId="25" fillId="10" borderId="31" xfId="1" applyFont="1" applyBorder="1"/>
    <xf numFmtId="0" fontId="27" fillId="18" borderId="53" xfId="1" applyFont="1" applyFill="1" applyBorder="1" applyAlignment="1">
      <alignment horizontal="center" vertical="center" wrapText="1"/>
    </xf>
    <xf numFmtId="0" fontId="29" fillId="18" borderId="53" xfId="1" applyFont="1" applyFill="1" applyBorder="1" applyAlignment="1">
      <alignment horizontal="center" vertical="center" wrapText="1"/>
    </xf>
    <xf numFmtId="9" fontId="27" fillId="18" borderId="53" xfId="1" applyNumberFormat="1" applyFont="1" applyFill="1" applyBorder="1" applyAlignment="1">
      <alignment horizontal="center" vertical="center" wrapText="1"/>
    </xf>
    <xf numFmtId="0" fontId="30" fillId="10" borderId="53" xfId="1" applyFont="1" applyBorder="1" applyAlignment="1">
      <alignment horizontal="justify" vertical="center" wrapText="1"/>
    </xf>
    <xf numFmtId="0" fontId="28" fillId="10" borderId="53" xfId="1" applyFont="1" applyBorder="1" applyAlignment="1">
      <alignment horizontal="center" vertical="center" wrapText="1"/>
    </xf>
    <xf numFmtId="0" fontId="31" fillId="12" borderId="30" xfId="1" applyFont="1" applyFill="1" applyBorder="1" applyAlignment="1">
      <alignment horizontal="center" vertical="center" wrapText="1"/>
    </xf>
    <xf numFmtId="9" fontId="31" fillId="12" borderId="30" xfId="1" applyNumberFormat="1" applyFont="1" applyFill="1" applyBorder="1" applyAlignment="1">
      <alignment horizontal="center" vertical="center" wrapText="1"/>
    </xf>
    <xf numFmtId="0" fontId="30" fillId="19" borderId="53" xfId="1" applyFont="1" applyFill="1" applyBorder="1" applyAlignment="1">
      <alignment horizontal="justify" vertical="center" wrapText="1"/>
    </xf>
    <xf numFmtId="0" fontId="30" fillId="19" borderId="55" xfId="1" applyFont="1" applyFill="1" applyBorder="1" applyAlignment="1">
      <alignment horizontal="justify" vertical="center" wrapText="1"/>
    </xf>
    <xf numFmtId="0" fontId="30" fillId="10" borderId="55" xfId="1" applyFont="1" applyBorder="1" applyAlignment="1">
      <alignment horizontal="justify" vertical="center" wrapText="1"/>
    </xf>
    <xf numFmtId="0" fontId="30" fillId="10" borderId="56" xfId="1" applyFont="1" applyBorder="1" applyAlignment="1">
      <alignment horizontal="justify" vertical="center" wrapText="1"/>
    </xf>
    <xf numFmtId="0" fontId="30" fillId="19" borderId="51" xfId="1" applyFont="1" applyFill="1" applyBorder="1" applyAlignment="1">
      <alignment horizontal="justify" vertical="center" wrapText="1"/>
    </xf>
    <xf numFmtId="0" fontId="30" fillId="10" borderId="57" xfId="1" applyFont="1" applyBorder="1" applyAlignment="1">
      <alignment horizontal="justify" vertical="center" wrapText="1"/>
    </xf>
    <xf numFmtId="0" fontId="33" fillId="19" borderId="53" xfId="1" applyFont="1" applyFill="1" applyBorder="1" applyAlignment="1">
      <alignment horizontal="justify" vertical="center" wrapText="1"/>
    </xf>
    <xf numFmtId="0" fontId="33" fillId="10" borderId="53" xfId="1" applyFont="1" applyBorder="1" applyAlignment="1">
      <alignment horizontal="justify" vertical="center" wrapText="1"/>
    </xf>
    <xf numFmtId="0" fontId="28" fillId="10" borderId="52" xfId="1" applyFont="1" applyBorder="1" applyAlignment="1">
      <alignment horizontal="center" vertical="center" wrapText="1"/>
    </xf>
    <xf numFmtId="0" fontId="27" fillId="18" borderId="53" xfId="1" applyFont="1" applyFill="1" applyBorder="1" applyAlignment="1">
      <alignment horizontal="center" vertical="center" wrapText="1"/>
    </xf>
    <xf numFmtId="0" fontId="29" fillId="18" borderId="53" xfId="1" applyFont="1" applyFill="1" applyBorder="1" applyAlignment="1">
      <alignment horizontal="center" vertical="center" wrapText="1"/>
    </xf>
    <xf numFmtId="0" fontId="17" fillId="13" borderId="31" xfId="1" applyFill="1" applyBorder="1" applyAlignment="1">
      <alignment horizontal="right" vertical="center"/>
    </xf>
    <xf numFmtId="0" fontId="26" fillId="10" borderId="45" xfId="1" applyFont="1" applyBorder="1" applyAlignment="1">
      <alignment horizontal="left" vertical="center"/>
    </xf>
    <xf numFmtId="0" fontId="22" fillId="14" borderId="31" xfId="1" applyFont="1" applyFill="1" applyBorder="1" applyAlignment="1">
      <alignment horizontal="center" vertical="center"/>
    </xf>
    <xf numFmtId="0" fontId="22" fillId="14" borderId="33" xfId="1" applyFont="1" applyFill="1" applyBorder="1" applyAlignment="1">
      <alignment horizontal="center" vertical="center"/>
    </xf>
    <xf numFmtId="0" fontId="28" fillId="14" borderId="33" xfId="1" applyFont="1" applyFill="1" applyBorder="1" applyAlignment="1">
      <alignment horizontal="center" vertical="center"/>
    </xf>
    <xf numFmtId="0" fontId="17" fillId="17" borderId="31" xfId="1" applyFill="1" applyBorder="1" applyAlignment="1">
      <alignment horizontal="center" vertical="center"/>
    </xf>
    <xf numFmtId="9" fontId="17" fillId="13" borderId="31" xfId="1" applyNumberFormat="1" applyFill="1" applyBorder="1" applyAlignment="1">
      <alignment horizontal="center" vertical="center"/>
    </xf>
    <xf numFmtId="0" fontId="20" fillId="15" borderId="31" xfId="1" applyFont="1" applyFill="1" applyBorder="1" applyAlignment="1">
      <alignment horizontal="center" vertical="center"/>
    </xf>
    <xf numFmtId="0" fontId="18" fillId="14" borderId="34" xfId="1" applyFont="1" applyFill="1" applyBorder="1" applyAlignment="1">
      <alignment horizontal="left" vertical="center" wrapText="1"/>
    </xf>
    <xf numFmtId="0" fontId="19" fillId="10" borderId="32" xfId="1" applyFont="1" applyBorder="1" applyAlignment="1"/>
    <xf numFmtId="0" fontId="19" fillId="10" borderId="42" xfId="1" applyFont="1" applyBorder="1" applyAlignment="1"/>
    <xf numFmtId="0" fontId="19" fillId="10" borderId="43" xfId="1" applyFont="1" applyBorder="1" applyAlignment="1"/>
    <xf numFmtId="0" fontId="19" fillId="10" borderId="44" xfId="1" applyFont="1" applyBorder="1" applyAlignment="1"/>
    <xf numFmtId="0" fontId="19" fillId="10" borderId="54" xfId="1" applyFont="1" applyBorder="1" applyAlignment="1"/>
    <xf numFmtId="0" fontId="19" fillId="10" borderId="46" xfId="1" applyFont="1" applyBorder="1" applyAlignment="1"/>
    <xf numFmtId="0" fontId="19" fillId="10" borderId="47" xfId="1" applyFont="1" applyBorder="1" applyAlignment="1"/>
    <xf numFmtId="0" fontId="19" fillId="10" borderId="48" xfId="1" applyFont="1" applyBorder="1" applyAlignment="1"/>
    <xf numFmtId="0" fontId="19" fillId="10" borderId="49" xfId="1" applyFont="1" applyBorder="1" applyAlignment="1"/>
    <xf numFmtId="0" fontId="19" fillId="10" borderId="50" xfId="1" applyFont="1" applyBorder="1" applyAlignment="1"/>
    <xf numFmtId="0" fontId="19" fillId="10" borderId="38" xfId="1" applyFont="1" applyBorder="1" applyAlignment="1"/>
    <xf numFmtId="0" fontId="18" fillId="14" borderId="41" xfId="1" applyFont="1" applyFill="1" applyBorder="1" applyAlignment="1">
      <alignment vertical="center" wrapText="1"/>
    </xf>
    <xf numFmtId="0" fontId="34" fillId="10" borderId="29" xfId="1" applyNumberFormat="1" applyFont="1" applyFill="1" applyBorder="1"/>
    <xf numFmtId="0" fontId="35" fillId="10" borderId="29" xfId="1" applyNumberFormat="1" applyFont="1" applyFill="1" applyBorder="1"/>
    <xf numFmtId="0" fontId="34" fillId="20" borderId="29" xfId="1" applyNumberFormat="1" applyFont="1" applyFill="1" applyBorder="1"/>
    <xf numFmtId="0" fontId="36" fillId="20" borderId="29" xfId="1" applyNumberFormat="1" applyFont="1" applyFill="1" applyBorder="1"/>
    <xf numFmtId="0" fontId="36" fillId="20" borderId="29" xfId="1" applyNumberFormat="1" applyFont="1" applyFill="1" applyBorder="1" applyAlignment="1">
      <alignment wrapText="1"/>
    </xf>
    <xf numFmtId="0" fontId="34" fillId="10" borderId="29" xfId="1" applyNumberFormat="1" applyFont="1" applyFill="1" applyBorder="1" applyAlignment="1">
      <alignment wrapText="1"/>
    </xf>
    <xf numFmtId="0" fontId="36" fillId="20" borderId="29" xfId="1" applyNumberFormat="1" applyFont="1" applyFill="1" applyBorder="1" applyAlignment="1">
      <alignment vertical="center" wrapText="1"/>
    </xf>
    <xf numFmtId="0" fontId="34" fillId="10" borderId="29" xfId="1" applyNumberFormat="1" applyFont="1" applyFill="1" applyBorder="1" applyAlignment="1">
      <alignment vertical="center" wrapText="1"/>
    </xf>
    <xf numFmtId="0" fontId="34" fillId="21" borderId="29" xfId="1" applyNumberFormat="1" applyFont="1" applyFill="1" applyBorder="1" applyAlignment="1">
      <alignment vertical="center"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 Id="rId11"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defaultColWidth="11.42578125" defaultRowHeight="14.45"/>
  <cols>
    <col min="1" max="6" width="38.7109375" customWidth="1"/>
  </cols>
  <sheetData>
    <row r="1" spans="1:6">
      <c r="A1" s="50" t="s">
        <v>0</v>
      </c>
      <c r="B1" s="50" t="s">
        <v>1</v>
      </c>
      <c r="C1" s="50"/>
      <c r="D1" s="50"/>
      <c r="E1" s="50"/>
      <c r="F1" s="50" t="s">
        <v>2</v>
      </c>
    </row>
    <row r="2" spans="1:6">
      <c r="A2" s="50"/>
      <c r="B2" s="51" t="s">
        <v>3</v>
      </c>
      <c r="C2" s="51" t="s">
        <v>4</v>
      </c>
      <c r="D2" s="35" t="s">
        <v>5</v>
      </c>
      <c r="E2" s="34" t="s">
        <v>6</v>
      </c>
      <c r="F2" s="50"/>
    </row>
    <row r="3" spans="1:6">
      <c r="A3" s="50"/>
      <c r="B3" s="51"/>
      <c r="C3" s="51"/>
      <c r="D3" s="36">
        <v>-0.3</v>
      </c>
      <c r="E3" s="36">
        <v>0</v>
      </c>
      <c r="F3" s="50"/>
    </row>
    <row r="4" spans="1:6" ht="55.15">
      <c r="A4" s="37" t="s">
        <v>7</v>
      </c>
      <c r="B4" s="37" t="s">
        <v>8</v>
      </c>
      <c r="C4" s="37" t="s">
        <v>9</v>
      </c>
      <c r="D4" s="37" t="s">
        <v>10</v>
      </c>
      <c r="E4" s="37" t="s">
        <v>11</v>
      </c>
      <c r="F4" s="38">
        <v>10</v>
      </c>
    </row>
    <row r="5" spans="1:6" ht="82.9">
      <c r="A5" s="41" t="s">
        <v>12</v>
      </c>
      <c r="B5" s="37" t="s">
        <v>13</v>
      </c>
      <c r="C5" s="37" t="s">
        <v>14</v>
      </c>
      <c r="D5" s="37" t="s">
        <v>15</v>
      </c>
      <c r="E5" s="37" t="s">
        <v>16</v>
      </c>
      <c r="F5" s="38">
        <v>20</v>
      </c>
    </row>
    <row r="6" spans="1:6" ht="42" thickBot="1">
      <c r="A6" s="41" t="s">
        <v>17</v>
      </c>
      <c r="B6" s="37" t="s">
        <v>18</v>
      </c>
      <c r="C6" s="37" t="s">
        <v>19</v>
      </c>
      <c r="D6" s="37" t="s">
        <v>20</v>
      </c>
      <c r="E6" s="37" t="s">
        <v>21</v>
      </c>
      <c r="F6" s="38">
        <v>5</v>
      </c>
    </row>
    <row r="7" spans="1:6" ht="69">
      <c r="A7" s="42" t="s">
        <v>22</v>
      </c>
      <c r="B7" s="43" t="s">
        <v>23</v>
      </c>
      <c r="C7" s="43" t="s">
        <v>24</v>
      </c>
      <c r="D7" s="43" t="s">
        <v>25</v>
      </c>
      <c r="E7" s="44" t="s">
        <v>26</v>
      </c>
      <c r="F7" s="38">
        <v>5</v>
      </c>
    </row>
    <row r="8" spans="1:6" ht="41.45">
      <c r="A8" s="41" t="s">
        <v>27</v>
      </c>
      <c r="B8" s="37" t="s">
        <v>28</v>
      </c>
      <c r="C8" s="37" t="s">
        <v>29</v>
      </c>
      <c r="D8" s="37" t="s">
        <v>30</v>
      </c>
      <c r="E8" s="37" t="s">
        <v>31</v>
      </c>
      <c r="F8" s="38">
        <v>5</v>
      </c>
    </row>
    <row r="9" spans="1:6" ht="55.15">
      <c r="A9" s="41" t="s">
        <v>32</v>
      </c>
      <c r="B9" s="37" t="s">
        <v>33</v>
      </c>
      <c r="C9" s="37" t="s">
        <v>34</v>
      </c>
      <c r="D9" s="37" t="s">
        <v>35</v>
      </c>
      <c r="E9" s="37" t="s">
        <v>36</v>
      </c>
      <c r="F9" s="38">
        <v>5</v>
      </c>
    </row>
    <row r="10" spans="1:6" ht="55.15">
      <c r="A10" s="41" t="s">
        <v>37</v>
      </c>
      <c r="B10" s="37" t="s">
        <v>38</v>
      </c>
      <c r="C10" s="37" t="s">
        <v>39</v>
      </c>
      <c r="D10" s="37" t="s">
        <v>40</v>
      </c>
      <c r="E10" s="37" t="s">
        <v>41</v>
      </c>
      <c r="F10" s="38">
        <v>15</v>
      </c>
    </row>
    <row r="11" spans="1:6" ht="55.9" thickBot="1">
      <c r="A11" s="45" t="s">
        <v>42</v>
      </c>
      <c r="B11" s="26" t="s">
        <v>43</v>
      </c>
      <c r="C11" s="26" t="s">
        <v>44</v>
      </c>
      <c r="D11" s="26" t="s">
        <v>45</v>
      </c>
      <c r="E11" s="46" t="s">
        <v>46</v>
      </c>
      <c r="F11" s="38">
        <v>10</v>
      </c>
    </row>
    <row r="12" spans="1:6" ht="69.599999999999994" thickBot="1">
      <c r="A12" s="47" t="s">
        <v>47</v>
      </c>
      <c r="B12" s="48" t="s">
        <v>48</v>
      </c>
      <c r="C12" s="48" t="s">
        <v>49</v>
      </c>
      <c r="D12" s="48" t="s">
        <v>50</v>
      </c>
      <c r="E12" s="48" t="s">
        <v>51</v>
      </c>
      <c r="F12" s="49">
        <v>15</v>
      </c>
    </row>
    <row r="13" spans="1:6" ht="97.15"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A35" zoomScale="120" zoomScaleNormal="120" workbookViewId="0">
      <selection activeCell="B53" sqref="B53"/>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0.75</v>
      </c>
      <c r="D2" s="2">
        <v>0.25</v>
      </c>
      <c r="E2" s="58">
        <v>1</v>
      </c>
    </row>
    <row r="3" spans="1:11" ht="14.45">
      <c r="B3" s="3" t="s">
        <v>57</v>
      </c>
      <c r="C3" s="39" t="s">
        <v>58</v>
      </c>
      <c r="D3" s="40" t="s">
        <v>59</v>
      </c>
      <c r="E3" s="61"/>
    </row>
    <row r="4" spans="1:11" ht="14.45">
      <c r="A4" s="4">
        <v>1</v>
      </c>
      <c r="B4" t="str" s="27">
        <v>Ociel Escobar</v>
      </c>
      <c r="C4" t="str" s="5">
        <f>IF(B4="","",IF(EVALUACION1!$C$21="","",EVALUACION1!$C$21))</f>
      </c>
      <c r="D4" t="str" s="5">
        <f>IF(B4="","",IF($C$32="","",$C$32))</f>
      </c>
      <c r="E4" t="str" s="6">
        <f>IF(OR(B4="",C4="",D4=""),"",C4*C$2+D4*D$2)</f>
      </c>
      <c r="G4" s="1"/>
    </row>
    <row r="5" spans="1:11" ht="14.45">
      <c r="A5" s="4">
        <v>2</v>
      </c>
      <c r="B5" t="str" s="27">
        <v>Sebastian Torres</v>
      </c>
      <c r="C5" t="str" s="5">
        <f>IF(B5="","",IF(EVALUACION1!$C$21="","",EVALUACION1!$C$21))</f>
      </c>
      <c r="D5" t="str" s="5">
        <f>IF(B5="","",IF($C$44="","",$C$44))</f>
      </c>
      <c r="E5" t="str" s="6">
        <f t="shared" ref="E5:E6" si="0">IF(OR(B5="",C5="",D5=""),"",C5*C$2+D5*D$2)</f>
      </c>
      <c r="G5" s="1"/>
    </row>
    <row r="6" spans="1:11" ht="14.45">
      <c r="A6" s="4">
        <v>3</v>
      </c>
      <c r="B6" s="27"/>
      <c r="C6" t="str" s="5">
        <f>IF(B6="","",IF(EVALUACION1!$C$21="","",EVALUACION1!$C$21))</f>
      </c>
      <c r="D6" t="str" s="5">
        <f>IF(B6="","",IF($C$55="","",$C$55))</f>
      </c>
      <c r="E6" t="str" s="6">
        <f t="shared" si="0">IF(OR(B6="",C6="",D6=""),"",C6*C$2+D6*D$2)</f>
      </c>
      <c r="G6" s="1"/>
    </row>
    <row r="8">
      <c r="B8" t="str">
        <v>Evaluación pendiente del docente</v>
      </c>
    </row>
    <row r="9">
      <c r="B9" t="str">
        <v>Proyecto PID R2 · Informática · 007V · Ernesto Velasquez</v>
      </c>
    </row>
    <row r="11" spans="1:11" ht="18" outlineLevel="1">
      <c r="A11" s="59" t="s">
        <v>58</v>
      </c>
      <c r="B11" s="14"/>
      <c r="C11" s="54" t="s">
        <v>60</v>
      </c>
      <c r="D11" s="55" t="s">
        <v>61</v>
      </c>
      <c r="E11" s="62"/>
      <c r="F11" s="62"/>
      <c r="G11" s="62"/>
      <c r="H11" s="62"/>
      <c r="I11" s="62"/>
      <c r="J11" s="62"/>
      <c r="K11" s="63"/>
    </row>
    <row r="12" spans="1:11" ht="14.45" outlineLevel="1">
      <c r="A12" s="64"/>
      <c r="B12" s="24" t="s">
        <v>62</v>
      </c>
      <c r="C12" s="61"/>
      <c r="D12" s="55" t="s">
        <v>63</v>
      </c>
      <c r="E12" s="63"/>
      <c r="F12" s="55" t="s">
        <v>64</v>
      </c>
      <c r="G12" s="63"/>
      <c r="H12" s="56" t="s">
        <v>65</v>
      </c>
      <c r="I12" s="63"/>
      <c r="J12" s="55" t="s">
        <v>6</v>
      </c>
      <c r="K12" s="63"/>
    </row>
    <row r="13" spans="1:11" ht="24" outlineLevel="1">
      <c r="A13" s="65"/>
      <c r="B13" s="30" t="str">
        <f>RUBRICA!A4</f>
        <v>1. Implementa una metodología que permite el logro de los objetivos propuestos, de acuerdo a los estándares de la disciplina.</v>
      </c>
      <c r="C13" s="28"/>
      <c r="D13" t="str" s="16">
        <f t="shared" ref="D13:D16" si="1">IF($C13=CL,"X","")</f>
      </c>
      <c r="E13" t="str" s="16">
        <f>IF(D13="X",100*0.1,"")</f>
      </c>
      <c r="F13" t="str" s="16">
        <f t="shared" ref="F13:F16" si="2">IF($C13=L,"X","")</f>
      </c>
      <c r="G13" t="str" s="16">
        <f>IF(F13="X",60*0.1,"")</f>
      </c>
      <c r="H13" t="str" s="16">
        <f t="shared" ref="H13:H16" si="3">IF($C13=ML,"X","")</f>
      </c>
      <c r="I13" t="str" s="16">
        <f>IF(H13="X",30*0.1,"")</f>
      </c>
      <c r="J13" t="str" s="16">
        <f t="shared" ref="J13:J16" si="4">IF($C13=NL,"X","")</f>
      </c>
      <c r="K13" t="str" s="16">
        <f t="shared" ref="K13:K16" si="5">IF(J13="X",0*0.1,"")</f>
      </c>
    </row>
    <row r="14" spans="1:11" ht="36" outlineLevel="1">
      <c r="A14" s="65"/>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c r="D14" t="str" s="16">
        <f t="shared" si="1">IF($C14=CL,"X","")</f>
      </c>
      <c r="E14" t="str" s="16">
        <f>IF(D14="X",100*0.2,"")</f>
      </c>
      <c r="F14" t="str" s="16">
        <f t="shared" si="2">IF($C14=L,"X","")</f>
      </c>
      <c r="G14" t="str" s="16">
        <f>IF(F14="X",60*0.2,"")</f>
      </c>
      <c r="H14" t="str" s="16">
        <f t="shared" si="3">IF($C14=ML,"X","")</f>
      </c>
      <c r="I14" t="str" s="16">
        <f>IF(H14="X",30*0.2,"")</f>
      </c>
      <c r="J14" t="str" s="16">
        <f t="shared" si="4">IF($C14=NL,"X","")</f>
      </c>
      <c r="K14" t="str" s="16">
        <f t="shared" si="5">IF(J14="X",0*0.2,"")</f>
      </c>
    </row>
    <row r="15" spans="1:11" ht="24" outlineLevel="1">
      <c r="A15" s="65"/>
      <c r="B15" s="30" t="str">
        <f>RUBRICA!A7</f>
        <v>4. Relaciona el Proyecto APT con las competencias del perfil de egreso de su Plan de Estudio.</v>
      </c>
      <c r="C15" s="28"/>
      <c r="D15" t="str" s="16">
        <f t="shared" si="1">IF($C15=CL,"X","")</f>
      </c>
      <c r="E15" t="str" s="16">
        <f>IF(D15="X",100*0.05,"")</f>
      </c>
      <c r="F15" t="str" s="16">
        <f t="shared" si="2">IF($C15=L,"X","")</f>
      </c>
      <c r="G15" t="str" s="16">
        <f>IF(F15="X",60*0.05,"")</f>
      </c>
      <c r="H15" t="str" s="16">
        <f t="shared" si="3">IF($C15=ML,"X","")</f>
      </c>
      <c r="I15" t="str" s="16">
        <f>IF(H15="X",30*0.05,"")</f>
      </c>
      <c r="J15" t="str" s="16">
        <f t="shared" si="4">IF($C15=NL,"X","")</f>
      </c>
      <c r="K15" t="str" s="16">
        <f t="shared" si="5">IF(J15="X",0*0.05,"")</f>
      </c>
    </row>
    <row r="16" spans="1:11" ht="24" outlineLevel="1">
      <c r="A16" s="65"/>
      <c r="B16" s="30" t="str">
        <f>RUBRICA!A8</f>
        <v>5. Utiliza de manera precisa el lenguaje técnico en los entregables de acuerdo con lo requerido por la disciplina.</v>
      </c>
      <c r="C16" s="28"/>
      <c r="D16" t="str" s="16">
        <f t="shared" si="1">IF($C16=CL,"X","")</f>
      </c>
      <c r="E16" t="str" s="16">
        <f>IF(D16="X",100*0.05,"")</f>
      </c>
      <c r="F16" t="str" s="16">
        <f t="shared" si="2">IF($C16=L,"X","")</f>
      </c>
      <c r="G16" t="str" s="16">
        <f>IF(F16="X",60*0.05,"")</f>
      </c>
      <c r="H16" t="str" s="16">
        <f t="shared" si="3">IF($C16=ML,"X","")</f>
      </c>
      <c r="I16" t="str" s="16">
        <f>IF(H16="X",30*0.05,"")</f>
      </c>
      <c r="J16" t="str" s="16">
        <f t="shared" si="4">IF($C16=NL,"X","")</f>
      </c>
      <c r="K16" t="str" s="16">
        <f t="shared" si="5">IF(J16="X",0*0.05,"")</f>
      </c>
    </row>
    <row r="17" spans="1:11" ht="24" outlineLevel="1">
      <c r="A17" s="65"/>
      <c r="B17" s="30" t="str">
        <f>RUBRICA!A9</f>
        <v xml:space="preserve">6. Utiliza correctamente las reglas de redacción, ortografía (literal, puntual, acentual) y las normas para citas y referencias. </v>
      </c>
      <c r="C17" s="28"/>
      <c r="D17" t="str" s="16">
        <f>IF($C17=CL,"X","")</f>
      </c>
      <c r="E17" t="str" s="16">
        <f>IF(D17="X",100*0.05,"")</f>
      </c>
      <c r="F17" t="str" s="16">
        <f>IF($C17=L,"X","")</f>
      </c>
      <c r="G17" t="str" s="16">
        <f>IF(F17="X",60*0.05,"")</f>
      </c>
      <c r="H17" t="str" s="16">
        <f>IF($C17=ML,"X","")</f>
      </c>
      <c r="I17" t="str" s="16">
        <f>IF(H17="X",30*0.05,"")</f>
      </c>
      <c r="J17" t="str" s="16">
        <f>IF($C17=NL,"X","")</f>
      </c>
      <c r="K17" t="str" s="16">
        <f t="shared" ref="K17:K19" si="6">IF(J17="X",0*0.05,"")</f>
      </c>
    </row>
    <row r="18" spans="1:11" ht="24" outlineLevel="1">
      <c r="A18" s="65"/>
      <c r="B18" s="30" t="str">
        <f>RUBRICA!A10</f>
        <v>7. Entrega la documentación y evidencias requerida por la asignatura de acuerdo a la estrucutra y nombres solicitados, guardando todas las evidencias de avances en Git</v>
      </c>
      <c r="C18" s="28"/>
      <c r="D18" t="str" s="16">
        <f>IF($C18=CL,"X","")</f>
      </c>
      <c r="E18" t="str" s="16">
        <f>IF(D18="X",100*0.15,"")</f>
      </c>
      <c r="F18" t="str" s="16">
        <f>IF($C18=L,"X","")</f>
      </c>
      <c r="G18" t="str" s="16">
        <f>IF(F18="X",60*0.15,"")</f>
      </c>
      <c r="H18" t="str" s="16">
        <f>IF($C18=ML,"X","")</f>
      </c>
      <c r="I18" t="str" s="16">
        <f>IF(H18="X",30*0.15,"")</f>
      </c>
      <c r="J18" t="str" s="16">
        <f>IF($C18=NL,"X","")</f>
      </c>
      <c r="K18" t="str" s="16">
        <f t="shared" si="6">IF(J18="X",0*0.15,"")</f>
      </c>
    </row>
    <row r="19" spans="1:11" ht="22.9" customHeight="1" outlineLevel="1">
      <c r="A19" s="65"/>
      <c r="B19" s="30" t="str">
        <f>RUBRICA!A12</f>
        <v>9.-Generan evidencias claras dentro del repositorio  del aporte de cada uno de los integrantes del equipo que permitan identificar la equidad en el trabajo y la participación de cada estudiante.</v>
      </c>
      <c r="C19" s="28"/>
      <c r="D19" t="str" s="16">
        <f>IF($C19=CL,"X","")</f>
      </c>
      <c r="E19" t="str" s="16">
        <f>IF(D19="X",100*0.15,"")</f>
      </c>
      <c r="F19" t="str" s="16">
        <f>IF($C19=L,"X","")</f>
      </c>
      <c r="G19" t="str" s="16">
        <f>IF(F19="X",60*0.15,"")</f>
      </c>
      <c r="H19" t="str" s="16">
        <f>IF($C19=ML,"X","")</f>
      </c>
      <c r="I19" t="str" s="16">
        <f>IF(H19="X",30*0.15,"")</f>
      </c>
      <c r="J19" t="str" s="16">
        <f>IF($C19=NL,"X","")</f>
      </c>
      <c r="K19" t="str" s="16">
        <f t="shared" si="6">IF(J19="X",0*0.15,"")</f>
      </c>
    </row>
    <row r="20" spans="1:11" ht="15.75" customHeight="1" outlineLevel="1">
      <c r="A20" s="64"/>
      <c r="B20" s="29" t="s">
        <v>66</v>
      </c>
      <c r="C20" t="str" s="33">
        <f>IF(COUNTA(C13:C19)&lt;7,"",E20+G20+I20+K20)</f>
      </c>
      <c r="D20" s="19"/>
      <c r="E20" t="str" s="19">
        <f>IF(COUNTA(C13:C19)&lt;7,"",SUM(E13:E19))</f>
      </c>
      <c r="F20" s="19"/>
      <c r="G20" t="str" s="19">
        <f>IF(COUNTA(C13:C19)&lt;7,"",SUM(G13:G19))</f>
      </c>
      <c r="H20" s="19"/>
      <c r="I20" t="str" s="19">
        <f>IF(COUNTA(C13:C19)&lt;7,"",SUM(I13:I19))</f>
      </c>
      <c r="J20" s="19"/>
      <c r="K20" t="str" s="19">
        <f>IF(COUNTA(C13:C19)&lt;7,"",SUM(K13:K19))</f>
      </c>
    </row>
    <row r="21" spans="1:11" ht="15.75" customHeight="1" outlineLevel="1">
      <c r="A21" s="61"/>
      <c r="B21" s="32" t="s">
        <v>67</v>
      </c>
      <c r="C21" t="str" s="20">
        <f>IF(C20="","",VLOOKUP(C20,ESCALA_IEP!A1:B152,2,FALSE))</f>
      </c>
    </row>
    <row r="22" spans="1:11" ht="15.75" customHeight="1"/>
    <row r="23" spans="1:11" ht="15.75" customHeight="1"/>
    <row r="24" spans="1:11" ht="15.75" customHeight="1">
      <c r="A24" s="57" t="s">
        <v>59</v>
      </c>
      <c r="B24" s="52" t="s">
        <v>68</v>
      </c>
      <c r="C24" t="str" s="53">
        <f>IF($B$4="","",$B$4)</f>
        <v>Ociel Escobar</v>
      </c>
      <c r="D24" s="66"/>
      <c r="E24" s="66"/>
      <c r="F24" s="66"/>
      <c r="G24" s="66"/>
      <c r="H24" s="66"/>
      <c r="I24" s="66"/>
      <c r="J24" s="66"/>
      <c r="K24" s="67"/>
    </row>
    <row r="25" spans="1:11" ht="15.75" customHeight="1">
      <c r="A25" s="64"/>
      <c r="B25" s="61"/>
      <c r="C25" s="68"/>
      <c r="D25" s="69"/>
      <c r="E25" s="69"/>
      <c r="F25" s="69"/>
      <c r="G25" s="69"/>
      <c r="H25" s="69"/>
      <c r="I25" s="69"/>
      <c r="J25" s="69"/>
      <c r="K25" s="70"/>
    </row>
    <row r="26" spans="1:11" ht="15.75" customHeight="1">
      <c r="A26" s="64"/>
      <c r="B26" s="14" t="s">
        <v>69</v>
      </c>
      <c r="C26" s="54" t="s">
        <v>60</v>
      </c>
      <c r="D26" s="55" t="s">
        <v>61</v>
      </c>
      <c r="E26" s="62"/>
      <c r="F26" s="62"/>
      <c r="G26" s="62"/>
      <c r="H26" s="62"/>
      <c r="I26" s="62"/>
      <c r="J26" s="62"/>
      <c r="K26" s="63"/>
    </row>
    <row r="27" spans="1:11" ht="15.75" customHeight="1">
      <c r="A27" s="64"/>
      <c r="B27" s="15" t="s">
        <v>62</v>
      </c>
      <c r="C27" s="61"/>
      <c r="D27" s="55" t="s">
        <v>63</v>
      </c>
      <c r="E27" s="63"/>
      <c r="F27" s="55" t="s">
        <v>64</v>
      </c>
      <c r="G27" s="63"/>
      <c r="H27" s="56" t="s">
        <v>65</v>
      </c>
      <c r="I27" s="63"/>
      <c r="J27" s="55" t="s">
        <v>6</v>
      </c>
      <c r="K27" s="63"/>
    </row>
    <row r="28" spans="1:11" ht="24">
      <c r="A28" s="64"/>
      <c r="B28" s="30" t="str">
        <f>RUBRICA!A6</f>
        <v>3. Relaciona el Proyecto APT con sus intereses profesionales. *</v>
      </c>
      <c r="C28" s="28"/>
      <c r="D28" t="str" s="16">
        <f t="shared" ref="D28:D30" si="7">IF($C28=CL,"X","")</f>
      </c>
      <c r="E28" t="str" s="16">
        <f>IF(D28="X",100*0.05,"")</f>
      </c>
      <c r="F28" t="str" s="16">
        <f t="shared" ref="F28:F30" si="8">IF($C28=L,"X","")</f>
      </c>
      <c r="G28" t="str" s="16">
        <f>IF(F28="X",60*0.05,"")</f>
      </c>
      <c r="H28" t="str" s="16">
        <f t="shared" ref="H28:H30" si="9">IF($C28=ML,"X","")</f>
      </c>
      <c r="I28" t="str" s="16">
        <f>IF(H28="X",30*0.05,"")</f>
      </c>
      <c r="J28" t="str" s="16">
        <f t="shared" ref="J28:J30" si="10">IF($C28=NL,"X","")</f>
      </c>
      <c r="K28" t="str" s="16">
        <f t="shared" ref="K28:K30" si="11">IF(J28="X",0*0.05,"")</f>
      </c>
    </row>
    <row r="29" spans="1:11" ht="24.6" customHeight="1">
      <c r="A29" s="64"/>
      <c r="B29" s="30" t="str">
        <f>RUBRICA!A11</f>
        <v>8. Expone el tema utilizando un lenguaje técnico disciplinar al presentar la propuesta y responde evidenciando un manejo de la información. *</v>
      </c>
      <c r="C29" s="28"/>
      <c r="D29" t="str" s="16">
        <f t="shared" si="7">IF($C29=CL,"X","")</f>
      </c>
      <c r="E29" t="str" s="16">
        <f>IF(D29="X",100*0.1,"")</f>
      </c>
      <c r="F29" t="str" s="16">
        <f t="shared" si="8">IF($C29=L,"X","")</f>
      </c>
      <c r="G29" t="str" s="16">
        <f>IF(F29="X",60*0.1,"")</f>
      </c>
      <c r="H29" t="str" s="16">
        <f t="shared" si="9">IF($C29=ML,"X","")</f>
      </c>
      <c r="I29" t="str" s="16">
        <f>IF(H29="X",30*0.1,"")</f>
      </c>
      <c r="J29" t="str" s="16">
        <f t="shared" si="10">IF($C29=NL,"X","")</f>
      </c>
      <c r="K29" t="str" s="16">
        <f t="shared" si="11">IF(J29="X",0*0.1,"")</f>
      </c>
    </row>
    <row r="30" spans="1:11" ht="25.9" customHeight="1">
      <c r="A30" s="64"/>
      <c r="B30" s="30" t="str">
        <f>RUBRICA!A13</f>
        <v>10. Colaboración y trabajo en equipo *</v>
      </c>
      <c r="C30" s="28"/>
      <c r="D30" t="str" s="16">
        <f t="shared" si="7">IF($C30=CL,"X","")</f>
      </c>
      <c r="E30" t="str" s="16">
        <f>IF(D30="X",100*0.1,"")</f>
      </c>
      <c r="F30" t="str" s="16">
        <f t="shared" si="8">IF($C30=L,"X","")</f>
      </c>
      <c r="G30" t="str" s="16">
        <f>IF(F30="X",60*0.1,"")</f>
      </c>
      <c r="H30" t="str" s="16">
        <f t="shared" si="9">IF($C30=ML,"X","")</f>
      </c>
      <c r="I30" t="str" s="16">
        <f>IF(H30="X",30*0.1,"")</f>
      </c>
      <c r="J30" t="str" s="16">
        <f t="shared" si="10">IF($C30=NL,"X","")</f>
      </c>
      <c r="K30" t="str" s="16">
        <f t="shared" si="11">IF(J30="X",0*0.1,"")</f>
      </c>
    </row>
    <row r="31" spans="1:11" ht="15.75" customHeight="1">
      <c r="A31" s="64"/>
      <c r="B31" s="21" t="s">
        <v>70</v>
      </c>
      <c r="C31" t="str" s="18">
        <f>IF(COUNTA(C28:C30)&lt;3,"",E31+G31+I31+K31)</f>
      </c>
      <c r="D31" s="19"/>
      <c r="E31" t="str" s="19">
        <f>IF(COUNTA(C28:C30)&lt;3,"",SUM(E28:E30))</f>
      </c>
      <c r="F31" s="19"/>
      <c r="G31" t="str" s="19">
        <f>IF(COUNTA(C28:C30)&lt;3,"",SUM(G28:G30))</f>
      </c>
      <c r="H31" s="19"/>
      <c r="I31" t="str" s="19">
        <f>IF(COUNTA(C28:C30)&lt;3,"",SUM(I28:I30))</f>
      </c>
      <c r="J31" s="19"/>
      <c r="K31" t="str" s="19">
        <f>IF(COUNTA(C28:C30)&lt;3,"",SUM(K28:K30))</f>
      </c>
    </row>
    <row r="32" spans="1:11" ht="15.75" customHeight="1">
      <c r="A32" s="61"/>
      <c r="B32" s="17" t="s">
        <v>67</v>
      </c>
      <c r="C32" t="str" s="20">
        <f>IF(C31="","",VLOOKUP(C31,ESCALA_TRAB_EQUIP!A1:B52,2,FALSE))</f>
      </c>
    </row>
    <row r="33" spans="1:11" ht="15.75" customHeight="1">
      <c r="B33" s="22"/>
      <c r="C33" s="23"/>
    </row>
    <row r="34" spans="1:11" ht="15.75" customHeight="1">
      <c r="B34" s="22"/>
      <c r="C34" s="23"/>
    </row>
    <row r="35" spans="1:11" ht="15.75" customHeight="1"/>
    <row r="36" spans="1:11" ht="15.75" customHeight="1">
      <c r="A36" s="57" t="s">
        <v>59</v>
      </c>
      <c r="B36" s="52" t="s">
        <v>68</v>
      </c>
      <c r="C36" t="str" s="53">
        <f>IF($B$5="","",$B$5)</f>
        <v>Sebastian Torres</v>
      </c>
      <c r="D36" s="66"/>
      <c r="E36" s="66"/>
      <c r="F36" s="66"/>
      <c r="G36" s="66"/>
      <c r="H36" s="66"/>
      <c r="I36" s="66"/>
      <c r="J36" s="66"/>
      <c r="K36" s="67"/>
    </row>
    <row r="37" spans="1:11" ht="15.75" customHeight="1">
      <c r="A37" s="64"/>
      <c r="B37" s="61"/>
      <c r="C37" s="68"/>
      <c r="D37" s="69"/>
      <c r="E37" s="69"/>
      <c r="F37" s="69"/>
      <c r="G37" s="69"/>
      <c r="H37" s="69"/>
      <c r="I37" s="69"/>
      <c r="J37" s="69"/>
      <c r="K37" s="70"/>
    </row>
    <row r="38" spans="1:11" ht="15.75" customHeight="1">
      <c r="A38" s="64"/>
      <c r="B38" s="14" t="s">
        <v>69</v>
      </c>
      <c r="C38" s="54" t="s">
        <v>60</v>
      </c>
      <c r="D38" s="55" t="s">
        <v>61</v>
      </c>
      <c r="E38" s="62"/>
      <c r="F38" s="62"/>
      <c r="G38" s="62"/>
      <c r="H38" s="62"/>
      <c r="I38" s="62"/>
      <c r="J38" s="62"/>
      <c r="K38" s="63"/>
    </row>
    <row r="39" spans="1:11" ht="15.75" customHeight="1">
      <c r="A39" s="64"/>
      <c r="B39" s="15" t="s">
        <v>62</v>
      </c>
      <c r="C39" s="61"/>
      <c r="D39" s="55" t="s">
        <v>63</v>
      </c>
      <c r="E39" s="63"/>
      <c r="F39" s="55" t="s">
        <v>64</v>
      </c>
      <c r="G39" s="63"/>
      <c r="H39" s="56" t="s">
        <v>65</v>
      </c>
      <c r="I39" s="63"/>
      <c r="J39" s="55" t="s">
        <v>6</v>
      </c>
      <c r="K39" s="63"/>
    </row>
    <row r="40" spans="1:11" ht="15.75" customHeight="1">
      <c r="A40" s="64"/>
      <c r="B40" s="30" t="str">
        <f>RUBRICA!A6</f>
        <v>3. Relaciona el Proyecto APT con sus intereses profesionales. *</v>
      </c>
      <c r="C40" s="28"/>
      <c r="D40" t="str" s="16">
        <f t="shared" ref="D40:D42" si="12">IF($C40=CL,"X","")</f>
      </c>
      <c r="E40" t="str" s="16">
        <f>IF(D40="X",100*0.05,"")</f>
      </c>
      <c r="F40" t="str" s="16">
        <f t="shared" ref="F40:F42" si="13">IF($C40=L,"X","")</f>
      </c>
      <c r="G40" t="str" s="16">
        <f>IF(F40="X",60*0.05,"")</f>
      </c>
      <c r="H40" t="str" s="16">
        <f t="shared" ref="H40:H42" si="14">IF($C40=ML,"X","")</f>
      </c>
      <c r="I40" t="str" s="16">
        <f>IF(H40="X",30*0.05,"")</f>
      </c>
      <c r="J40" t="str" s="16">
        <f t="shared" ref="J40:J42" si="15">IF($C40=NL,"X","")</f>
      </c>
      <c r="K40" t="str" s="16">
        <f t="shared" ref="K40:K42" si="16">IF(J40="X",0*0.05,"")</f>
      </c>
    </row>
    <row r="41" spans="1:11" ht="25.9" customHeight="1">
      <c r="A41" s="64"/>
      <c r="B41" s="30" t="str">
        <f>RUBRICA!A11</f>
        <v>8. Expone el tema utilizando un lenguaje técnico disciplinar al presentar la propuesta y responde evidenciando un manejo de la información. *</v>
      </c>
      <c r="C41" s="28"/>
      <c r="D41" t="str" s="16">
        <f t="shared" si="12">IF($C41=CL,"X","")</f>
      </c>
      <c r="E41" t="str" s="16">
        <f>IF(D41="X",100*0.1,"")</f>
      </c>
      <c r="F41" t="str" s="16">
        <f t="shared" si="13">IF($C41=L,"X","")</f>
      </c>
      <c r="G41" t="str" s="16">
        <f>IF(F41="X",60*0.1,"")</f>
      </c>
      <c r="H41" t="str" s="16">
        <f t="shared" si="14">IF($C41=ML,"X","")</f>
      </c>
      <c r="I41" t="str" s="16">
        <f>IF(H41="X",30*0.1,"")</f>
      </c>
      <c r="J41" t="str" s="16">
        <f t="shared" si="15">IF($C41=NL,"X","")</f>
      </c>
      <c r="K41" t="str" s="16">
        <f t="shared" si="16">IF(J41="X",0*0.1,"")</f>
      </c>
    </row>
    <row r="42" spans="1:11" ht="14.45">
      <c r="A42" s="64"/>
      <c r="B42" s="30" t="str">
        <f>RUBRICA!A13</f>
        <v>10. Colaboración y trabajo en equipo *</v>
      </c>
      <c r="C42" s="28"/>
      <c r="D42" t="str" s="16">
        <f t="shared" si="12">IF($C42=CL,"X","")</f>
      </c>
      <c r="E42" t="str" s="16">
        <f>IF(D42="X",100*0.1,"")</f>
      </c>
      <c r="F42" t="str" s="16">
        <f t="shared" si="13">IF($C42=L,"X","")</f>
      </c>
      <c r="G42" t="str" s="16">
        <f>IF(F42="X",60*0.1,"")</f>
      </c>
      <c r="H42" t="str" s="16">
        <f t="shared" si="14">IF($C42=ML,"X","")</f>
      </c>
      <c r="I42" t="str" s="16">
        <f>IF(H42="X",30*0.1,"")</f>
      </c>
      <c r="J42" t="str" s="16">
        <f t="shared" si="15">IF($C42=NL,"X","")</f>
      </c>
      <c r="K42" t="str" s="16">
        <f t="shared" si="16">IF(J42="X",0*0.1,"")</f>
      </c>
    </row>
    <row r="43" spans="1:11" ht="15.75" customHeight="1">
      <c r="A43" s="64"/>
      <c r="B43" s="21" t="s">
        <v>70</v>
      </c>
      <c r="C43" t="str" s="18">
        <f>IF(COUNTA(C40:C42)&lt;3,"",E43+G43+I43+K43)</f>
      </c>
      <c r="D43" s="19"/>
      <c r="E43" t="str" s="19">
        <f>IF(COUNTA(C40:C42)&lt;3,"",SUM(E40:E42))</f>
      </c>
      <c r="F43" s="19"/>
      <c r="G43" t="str" s="19">
        <f>IF(COUNTA(C40:C42)&lt;3,"",SUM(G40:G42))</f>
      </c>
      <c r="H43" s="19"/>
      <c r="I43" t="str" s="19">
        <f>IF(COUNTA(C40:C42)&lt;3,"",SUM(I40:I42))</f>
      </c>
      <c r="J43" s="19"/>
      <c r="K43" t="str" s="19">
        <f>IF(COUNTA(C40:C42)&lt;3,"",SUM(K40:K42))</f>
      </c>
    </row>
    <row r="44" spans="1:11" ht="15.75" customHeight="1">
      <c r="A44" s="61"/>
      <c r="B44" s="17" t="s">
        <v>67</v>
      </c>
      <c r="C44" t="str" s="20">
        <f>IF(C43="","",VLOOKUP(C43,ESCALA_TRAB_EQUIP!A1:B52,2,FALSE))</f>
      </c>
    </row>
    <row r="45" spans="1:11" ht="15.75" customHeight="1">
      <c r="B45" s="22"/>
      <c r="C45" s="23"/>
    </row>
    <row r="46" spans="1:11" ht="15.75" customHeight="1">
      <c r="B46" s="22"/>
      <c r="C46" s="23"/>
    </row>
    <row r="47" spans="1:11" ht="15.75" customHeight="1">
      <c r="A47" s="57" t="s">
        <v>59</v>
      </c>
      <c r="B47" s="52" t="s">
        <v>68</v>
      </c>
      <c r="C47" t="str" s="53">
        <f>IF($B$6="","No aplica - equipo de dos integrantes",$B$6)</f>
        <v>No aplica - equipo de dos integrantes</v>
      </c>
      <c r="D47" s="66"/>
      <c r="E47" s="66"/>
      <c r="F47" s="66"/>
      <c r="G47" s="66"/>
      <c r="H47" s="66"/>
      <c r="I47" s="66"/>
      <c r="J47" s="66"/>
      <c r="K47" s="67"/>
    </row>
    <row r="48" spans="1:11" ht="15.75" customHeight="1">
      <c r="A48" s="64"/>
      <c r="B48" s="61"/>
      <c r="C48" s="68"/>
      <c r="D48" s="69"/>
      <c r="E48" s="69"/>
      <c r="F48" s="69"/>
      <c r="G48" s="69"/>
      <c r="H48" s="69"/>
      <c r="I48" s="69"/>
      <c r="J48" s="69"/>
      <c r="K48" s="70"/>
    </row>
    <row r="49" spans="1:11" ht="15.75" customHeight="1">
      <c r="A49" s="64"/>
      <c r="B49" s="14" t="s">
        <v>69</v>
      </c>
      <c r="C49" s="54" t="s">
        <v>60</v>
      </c>
      <c r="D49" s="55" t="s">
        <v>61</v>
      </c>
      <c r="E49" s="62"/>
      <c r="F49" s="62"/>
      <c r="G49" s="62"/>
      <c r="H49" s="62"/>
      <c r="I49" s="62"/>
      <c r="J49" s="62"/>
      <c r="K49" s="63"/>
    </row>
    <row r="50" spans="1:11" ht="15.75" customHeight="1">
      <c r="A50" s="64"/>
      <c r="B50" s="15" t="s">
        <v>62</v>
      </c>
      <c r="C50" s="61"/>
      <c r="D50" s="55" t="s">
        <v>63</v>
      </c>
      <c r="E50" s="63"/>
      <c r="F50" s="55" t="s">
        <v>64</v>
      </c>
      <c r="G50" s="63"/>
      <c r="H50" s="56" t="s">
        <v>65</v>
      </c>
      <c r="I50" s="63"/>
      <c r="J50" s="55" t="s">
        <v>6</v>
      </c>
      <c r="K50" s="63"/>
    </row>
    <row r="51" spans="1:11" ht="15.75" customHeight="1">
      <c r="A51" s="64"/>
      <c r="B51" s="30" t="str">
        <f>RUBRICA!A6</f>
        <v>3. Relaciona el Proyecto APT con sus intereses profesionales. *</v>
      </c>
      <c r="C51" s="28"/>
      <c r="D51" t="str" s="16">
        <f t="shared" ref="D51:D53" si="17">IF($C51=CL,"X","")</f>
      </c>
      <c r="E51" t="str" s="16">
        <f>IF(D51="X",100*0.05,"")</f>
      </c>
      <c r="F51" t="str" s="16">
        <f t="shared" ref="F51:F53" si="18">IF($C51=L,"X","")</f>
      </c>
      <c r="G51" t="str" s="16">
        <f>IF(F51="X",60*0.05,"")</f>
      </c>
      <c r="H51" t="str" s="16">
        <f t="shared" ref="H51:H53" si="19">IF($C51=ML,"X","")</f>
      </c>
      <c r="I51" t="str" s="16">
        <f>IF(H51="X",30*0.05,"")</f>
      </c>
      <c r="J51" t="str" s="16">
        <f t="shared" ref="J51:J53" si="20">IF($C51=NL,"X","")</f>
      </c>
      <c r="K51" t="str" s="16">
        <f t="shared" ref="K51:K53" si="21">IF(J51="X",0*0.05,"")</f>
      </c>
    </row>
    <row r="52" spans="1:11" ht="25.9" customHeight="1">
      <c r="A52" s="64"/>
      <c r="B52" s="30" t="str">
        <f>RUBRICA!A11</f>
        <v>8. Expone el tema utilizando un lenguaje técnico disciplinar al presentar la propuesta y responde evidenciando un manejo de la información. *</v>
      </c>
      <c r="C52" s="28"/>
      <c r="D52" t="str" s="16">
        <f t="shared" si="17">IF($C52=CL,"X","")</f>
      </c>
      <c r="E52" t="str" s="16">
        <f>IF(D52="X",100*0.1,"")</f>
      </c>
      <c r="F52" t="str" s="16">
        <f t="shared" si="18">IF($C52=L,"X","")</f>
      </c>
      <c r="G52" t="str" s="16">
        <f>IF(F52="X",60*0.1,"")</f>
      </c>
      <c r="H52" t="str" s="16">
        <f t="shared" si="19">IF($C52=ML,"X","")</f>
      </c>
      <c r="I52" t="str" s="16">
        <f>IF(H52="X",30*0.1,"")</f>
      </c>
      <c r="J52" t="str" s="16">
        <f t="shared" si="20">IF($C52=NL,"X","")</f>
      </c>
      <c r="K52" t="str" s="16">
        <f t="shared" si="21">IF(J52="X",0*0.1,"")</f>
      </c>
    </row>
    <row r="53" spans="1:11" ht="14.45">
      <c r="A53" s="64"/>
      <c r="B53" s="30" t="str">
        <f>RUBRICA!A13</f>
        <v>10. Colaboración y trabajo en equipo *</v>
      </c>
      <c r="C53" s="28"/>
      <c r="D53" t="str" s="16">
        <f t="shared" si="17">IF($C53=CL,"X","")</f>
      </c>
      <c r="E53" t="str" s="16">
        <f>IF(D53="X",100*0.1,"")</f>
      </c>
      <c r="F53" t="str" s="16">
        <f t="shared" si="18">IF($C53=L,"X","")</f>
      </c>
      <c r="G53" t="str" s="16">
        <f>IF(F53="X",60*0.1,"")</f>
      </c>
      <c r="H53" t="str" s="16">
        <f t="shared" si="19">IF($C53=ML,"X","")</f>
      </c>
      <c r="I53" t="str" s="16">
        <f>IF(H53="X",30*0.1,"")</f>
      </c>
      <c r="J53" t="str" s="16">
        <f t="shared" si="20">IF($C53=NL,"X","")</f>
      </c>
      <c r="K53" t="str" s="16">
        <f t="shared" si="21">IF(J53="X",0*0.1,"")</f>
      </c>
    </row>
    <row r="54" spans="1:11" ht="15.75" customHeight="1">
      <c r="A54" s="64"/>
      <c r="B54" s="21" t="s">
        <v>70</v>
      </c>
      <c r="C54" t="str" s="18">
        <f>IF(COUNTA(C51:C53)&lt;3,"",E54+G54+I54+K54)</f>
      </c>
      <c r="D54" s="19"/>
      <c r="E54" t="str" s="19">
        <f>IF(COUNTA(C51:C53)&lt;3,"",SUM(E51:E53))</f>
      </c>
      <c r="F54" s="19"/>
      <c r="G54" t="str" s="19">
        <f>IF(COUNTA(C51:C53)&lt;3,"",SUM(G51:G53))</f>
      </c>
      <c r="H54" s="19"/>
      <c r="I54" t="str" s="19">
        <f>IF(COUNTA(C51:C53)&lt;3,"",SUM(I51:I53))</f>
      </c>
      <c r="J54" s="19"/>
      <c r="K54" t="str" s="19">
        <f>IF(COUNTA(C51:C53)&lt;3,"",SUM(K51:K53))</f>
      </c>
    </row>
    <row r="55" spans="1:11" ht="15.75" customHeight="1">
      <c r="A55" s="61"/>
      <c r="B55" s="17" t="s">
        <v>67</v>
      </c>
      <c r="C55" t="str" s="20">
        <f>IF(C54="","",VLOOKUP(C54,ESCALA_TRAB_EQUIP!A1:B52,2,FALSE))</f>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defaultColWidth="14.42578125" defaultRowHeight="15" customHeight="1"/>
  <cols>
    <col min="1" max="26" width="10.7109375" customWidth="1"/>
  </cols>
  <sheetData>
    <row r="1" spans="1:2" ht="14.45">
      <c r="A1" t="s">
        <v>66</v>
      </c>
      <c r="B1" t="s">
        <v>67</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1.2</v>
      </c>
    </row>
    <row r="8" spans="1:2" ht="14.45">
      <c r="A8">
        <v>3</v>
      </c>
      <c r="B8">
        <v>1.2</v>
      </c>
    </row>
    <row r="9" spans="1:2" ht="14.45">
      <c r="A9">
        <v>3.5</v>
      </c>
      <c r="B9">
        <v>1.2</v>
      </c>
    </row>
    <row r="10" spans="1:2" ht="14.45">
      <c r="A10">
        <v>4</v>
      </c>
      <c r="B10">
        <v>1.3</v>
      </c>
    </row>
    <row r="11" spans="1:2" ht="14.45">
      <c r="A11">
        <v>4.5</v>
      </c>
      <c r="B11">
        <v>1.3</v>
      </c>
    </row>
    <row r="12" spans="1:2" ht="14.45">
      <c r="A12">
        <v>5</v>
      </c>
      <c r="B12">
        <v>1.3</v>
      </c>
    </row>
    <row r="13" spans="1:2" ht="14.45">
      <c r="A13">
        <v>5.5</v>
      </c>
      <c r="B13">
        <v>1.4</v>
      </c>
    </row>
    <row r="14" spans="1:2" ht="14.45">
      <c r="A14">
        <v>6</v>
      </c>
      <c r="B14">
        <v>1.4</v>
      </c>
    </row>
    <row r="15" spans="1:2" ht="14.45">
      <c r="A15">
        <v>6.5</v>
      </c>
      <c r="B15">
        <v>1.4</v>
      </c>
    </row>
    <row r="16" spans="1:2" ht="14.45">
      <c r="A16">
        <v>7</v>
      </c>
      <c r="B16">
        <v>1.5</v>
      </c>
    </row>
    <row r="17" spans="1:2" ht="14.45">
      <c r="A17">
        <v>7.5</v>
      </c>
      <c r="B17">
        <v>1.5</v>
      </c>
    </row>
    <row r="18" spans="1:2" ht="14.45">
      <c r="A18">
        <v>8</v>
      </c>
      <c r="B18">
        <v>1.5</v>
      </c>
    </row>
    <row r="19" spans="1:2" ht="14.45">
      <c r="A19">
        <v>8.5</v>
      </c>
      <c r="B19">
        <v>1.6</v>
      </c>
    </row>
    <row r="20" spans="1:2" ht="14.45">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71</v>
      </c>
      <c r="B1" t="s">
        <v>72</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defaultColWidth="14.42578125" defaultRowHeight="15" customHeight="1"/>
  <cols>
    <col min="1" max="26" width="10.7109375" customWidth="1"/>
  </cols>
  <sheetData>
    <row r="1" spans="1:2" ht="14.45">
      <c r="A1" t="s">
        <v>66</v>
      </c>
      <c r="B1" t="s">
        <v>67</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60" t="s">
        <v>73</v>
      </c>
      <c r="B1" s="7" t="s">
        <v>66</v>
      </c>
      <c r="C1" s="8"/>
      <c r="D1" s="8"/>
      <c r="E1" s="9"/>
    </row>
    <row r="2" spans="1:5" ht="43.9" thickBot="1">
      <c r="A2" s="71"/>
      <c r="B2" s="10" t="s">
        <v>63</v>
      </c>
      <c r="C2" s="11" t="s">
        <v>64</v>
      </c>
      <c r="D2" s="31" t="s">
        <v>74</v>
      </c>
      <c r="E2" s="72" t="s">
        <v>6</v>
      </c>
    </row>
    <row r="3" spans="1:5" ht="29.45" thickBot="1">
      <c r="A3" s="12" t="s">
        <v>75</v>
      </c>
      <c r="B3" s="13">
        <v>4</v>
      </c>
      <c r="C3" s="13">
        <v>3</v>
      </c>
      <c r="D3" s="13">
        <v>2</v>
      </c>
      <c r="E3" s="13">
        <v>0</v>
      </c>
    </row>
    <row r="4" spans="1:5" thickBot="1">
      <c r="A4" s="12"/>
      <c r="B4" s="13"/>
      <c r="C4" s="13"/>
      <c r="D4" s="13"/>
      <c r="E4" s="13"/>
    </row>
    <row r="5" spans="1: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xl/worksheets/sheet13.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23.75" hidden="0" customWidth="1"/>
    <x:col min="2" max="2" width="48.75" hidden="0" customWidth="1"/>
    <x:col min="3" max="3" width="48.75" hidden="0" customWidth="1"/>
    <x:col min="4" max="4" width="18.75" hidden="0" customWidth="1"/>
    <x:col min="5" max="5" width="50" hidden="0" customWidth="1"/>
    <x:col min="6" max="6" width="20" hidden="0" customWidth="1"/>
  </x:cols>
  <x:sheetData>
    <x:row r="1" ht="26" customHeight="1">
      <x:c r="A1" s="147" t="str">
        <x:v>Evidencias del equipo para evaluación</x:v>
      </x:c>
      <x:c r="B1" s="146"/>
      <x:c r="C1" s="146"/>
      <x:c r="D1" s="146"/>
      <x:c r="E1" s="146"/>
      <x:c r="F1" s="146"/>
    </x:row>
    <x:row r="2" ht="26" customHeight="1">
      <x:c r="A2" s="146" t="str">
        <x:v>Ociel Escobar y Sebastian Torres · Ingeniería en Informática · Sección 007V</x:v>
      </x:c>
      <x:c r="B2" s="146"/>
      <x:c r="C2" s="146"/>
      <x:c r="D2" s="146"/>
      <x:c r="E2" s="146"/>
      <x:c r="F2" s="146"/>
    </x:row>
    <x:row r="3" ht="26" customHeight="1">
      <x:c r="A3" s="146" t="str">
        <x:v>Docente Ernesto Velasquez · Corte documental 21-10-2026</x:v>
      </x:c>
      <x:c r="B3" s="146"/>
      <x:c r="C3" s="146"/>
      <x:c r="D3" s="146"/>
      <x:c r="E3" s="146"/>
      <x:c r="F3" s="146"/>
    </x:row>
    <x:row r="4" ht="26" customHeight="1">
      <x:c r="A4" s="146" t="str">
        <x:v>Las calificaciones y niveles están reservados al docente. No se asignan notas al completar esta planilla.</x:v>
      </x:c>
      <x:c r="B4" s="146"/>
      <x:c r="C4" s="146"/>
      <x:c r="D4" s="146"/>
      <x:c r="E4" s="146"/>
      <x:c r="F4" s="146"/>
    </x:row>
    <x:row r="5">
      <x:c r="A5" s="146"/>
      <x:c r="B5" s="146"/>
      <x:c r="C5" s="146"/>
      <x:c r="D5" s="146"/>
      <x:c r="E5" s="146"/>
      <x:c r="F5" s="146"/>
    </x:row>
    <x:row r="6" ht="40" customHeight="1">
      <x:c r="A6" s="152" t="str">
        <x:v>Aspecto</x:v>
      </x:c>
      <x:c r="B6" s="152" t="str">
        <x:v>Evidencia disponible</x:v>
      </x:c>
      <x:c r="C6" s="152" t="str">
        <x:v>Ubicación desde Fase 2</x:v>
      </x:c>
      <x:c r="D6" s="152" t="str">
        <x:v>Estado real</x:v>
      </x:c>
      <x:c r="E6" s="152" t="str">
        <x:v>Pendiente de completar o demostrar</x:v>
      </x:c>
      <x:c r="F6" s="152" t="str">
        <x:v>Responsable</x:v>
      </x:c>
    </x:row>
    <x:row r="7" ht="96" customHeight="1">
      <x:c r="A7" s="154" t="str">
        <x:v>Identificación</x:v>
      </x:c>
      <x:c r="B7" s="154" t="str">
        <x:v>Ociel Escobar y Sebastian Torres</x:v>
      </x:c>
      <x:c r="C7" s="154" t="str">
        <x:v>Ingeniería en Informática · 007V</x:v>
      </x:c>
      <x:c r="D7" s="154" t="str">
        <x:v>Confirmado</x:v>
      </x:c>
      <x:c r="E7" s="154" t="str">
        <x:v>Docente Ernesto Velasquez</x:v>
      </x:c>
      <x:c r="F7" s="154" t="str">
        <x:v>Equipo</x:v>
      </x:c>
    </x:row>
    <x:row r="8" ht="96" customHeight="1">
      <x:c r="A8" s="153" t="str">
        <x:v>Metodología</x:v>
      </x:c>
      <x:c r="B8" s="153" t="str">
        <x:v>Revisión incremental; HU, RNF, tareas y pruebas relacionadas</x:v>
      </x:c>
      <x:c r="C8" s="153" t="str">
        <x:v>Evidencias de documentación/Product Backlog.xlsx y Sprint Backlog.xlsx</x:v>
      </x:c>
      <x:c r="D8" s="153" t="str">
        <x:v>Documentado</x:v>
      </x:c>
      <x:c r="E8" s="153" t="str">
        <x:v>Fechas y acuerdos de sprints por confirmar; no acreditar ceremonias sin acta</x:v>
      </x:c>
      <x:c r="F8" s="153" t="str">
        <x:v>Equipo</x:v>
      </x:c>
    </x:row>
    <x:row r="9" ht="96" customHeight="1">
      <x:c r="A9" s="154" t="str">
        <x:v>Programación</x:v>
      </x:c>
      <x:c r="B9" s="154" t="str">
        <x:v>JSON de 39 nodos; 14 funciones JS; revisión de 45 conexiones</x:v>
      </x:c>
      <x:c r="C9" s="154" t="str">
        <x:v>Evidencias de sistema/Aplicación/01_Flujo_actual_PID_R2.json</x:v>
      </x:c>
      <x:c r="D9" s="154" t="str">
        <x:v>Disponible</x:v>
      </x:c>
      <x:c r="E9" s="154" t="str">
        <x:v>Validación integrada de n8n pendiente</x:v>
      </x:c>
      <x:c r="F9" s="154" t="str">
        <x:v>Equipo</x:v>
      </x:c>
    </x:row>
    <x:row r="10" ht="96" customHeight="1">
      <x:c r="A10" s="153" t="str">
        <x:v>Datos</x:v>
      </x:c>
      <x:c r="B10" s="153" t="str">
        <x:v>Nueve nodos SQL, siete objetos consultados, contratos observados</x:v>
      </x:c>
      <x:c r="C10" s="153" t="str">
        <x:v>Evidencias de sistema/Base de datos/</x:v>
      </x:c>
      <x:c r="D10" s="153" t="str">
        <x:v>Fuente disponible</x:v>
      </x:c>
      <x:c r="E10" s="153" t="str">
        <x:v>Completar registros SQL con resultados auténticos; sin DDL confirmado</x:v>
      </x:c>
      <x:c r="F10" s="153" t="str">
        <x:v>Ociel Escobar (propuesta)</x:v>
      </x:c>
    </x:row>
    <x:row r="11" ht="96" customHeight="1">
      <x:c r="A11" s="154" t="str">
        <x:v>Pruebas</x:v>
      </x:c>
      <x:c r="B11" s="154" t="str">
        <x:v>12 casos locales: 7 aprobados y 5 fallidos; 18 de integración pendientes</x:v>
      </x:c>
      <x:c r="C11" s="154" t="str">
        <x:v>Evidencias de documentación/Pruebas.xlsx; Evidencias de sistema/Aplicación/Pruebas locales/Resultados/</x:v>
      </x:c>
      <x:c r="D11" s="154" t="str">
        <x:v>Parcial</x:v>
      </x:c>
      <x:c r="E11" s="154" t="str">
        <x:v>Corregir fechas, término, mes siguiente, plazo final y simulación</x:v>
      </x:c>
      <x:c r="F11" s="154" t="str">
        <x:v>Equipo</x:v>
      </x:c>
    </x:row>
    <x:row r="12" ht="96" customHeight="1">
      <x:c r="A12" s="153" t="str">
        <x:v>Lenguaje y redacción</x:v>
      </x:c>
      <x:c r="B12" s="153" t="str">
        <x:v>UML, modelo lógico, criterios verificables y referencias internas</x:v>
      </x:c>
      <x:c r="C12" s="153" t="str">
        <x:v>Evidencias de documentación/ y guías grupales completadas</x:v>
      </x:c>
      <x:c r="D12" s="153" t="str">
        <x:v>Preparado</x:v>
      </x:c>
      <x:c r="E12" s="153" t="str">
        <x:v>Revisión conjunta y evaluación de calidad por el docente</x:v>
      </x:c>
      <x:c r="F12" s="153" t="str">
        <x:v>Equipo</x:v>
      </x:c>
    </x:row>
    <x:row r="13" ht="96" customHeight="1">
      <x:c r="A13" s="154" t="str">
        <x:v>Perfil de egreso</x:v>
      </x:c>
      <x:c r="B13" s="154" t="str">
        <x:v>Aplicación técnica de análisis, datos, integración, programación y calidad</x:v>
      </x:c>
      <x:c r="C13" s="154" t="str">
        <x:v>Informe final, tabla de competencias</x:v>
      </x:c>
      <x:c r="D13" s="154" t="str">
        <x:v>Relación técnica descrita</x:v>
      </x:c>
      <x:c r="E13" s="154" t="str">
        <x:v>Cotejar denominaciones con perfil oficial de la carrera</x:v>
      </x:c>
      <x:c r="F13" s="154" t="str">
        <x:v>Equipo</x:v>
      </x:c>
    </x:row>
    <x:row r="14" ht="96" customHeight="1">
      <x:c r="A14" s="153" t="str">
        <x:v>Intereses profesionales</x:v>
      </x:c>
      <x:c r="B14" s="153" t="str">
        <x:v>Ociel: análisis de datos, BD y Power BI. Sebastian: área específica aún sin definir</x:v>
      </x:c>
      <x:c r="C14" s="153" t="str">
        <x:v>Informe final, intereses y proyecciones</x:v>
      </x:c>
      <x:c r="D14" s="153" t="str">
        <x:v>Declaración parcial</x:v>
      </x:c>
      <x:c r="E14" s="153" t="str">
        <x:v>Power BI es proyección, no funcionalidad implementada; completar reflexión de Sebastian</x:v>
      </x:c>
      <x:c r="F14" s="153" t="str">
        <x:v>Equipo</x:v>
      </x:c>
    </x:row>
    <x:row r="15" ht="96" customHeight="1">
      <x:c r="A15" s="154" t="str">
        <x:v>Estructura de entrega y Git</x:v>
      </x:c>
      <x:c r="B15" s="154" t="str">
        <x:v>Archivos organizados en Fase 2; historial anterior observable</x:v>
      </x:c>
      <x:c r="C15" s="154" t="str">
        <x:v>Fase 2/ y repositorio Capstone.OE.ST</x:v>
      </x:c>
      <x:c r="D15" s="154" t="str">
        <x:v>Pendiente de Git</x:v>
      </x:c>
      <x:c r="E15" s="154" t="str">
        <x:v>Fase 2 sin seguimiento al 21-10-2026; registrar cambios reales</x:v>
      </x:c>
      <x:c r="F15" s="154" t="str">
        <x:v>Equipo</x:v>
      </x:c>
    </x:row>
    <x:row r="16" ht="96" customHeight="1">
      <x:c r="A16" s="153" t="str">
        <x:v>Aportes y exposición</x:v>
      </x:c>
      <x:c r="B16" s="153" t="str">
        <x:v>Integrantes identificados; tareas propuestas por responsable</x:v>
      </x:c>
      <x:c r="C16" s="153" t="str">
        <x:v>Sprint Backlog.xlsx; historial Git previo</x:v>
      </x:c>
      <x:c r="D16" s="153" t="str">
        <x:v>Por demostrar</x:v>
      </x:c>
      <x:c r="E16" s="153" t="str">
        <x:v>No acreditar equidad ni dominio oral sin evidencia individual y exposición</x:v>
      </x:c>
      <x:c r="F16" s="153" t="str">
        <x:v>Equipo</x:v>
      </x:c>
    </x:row>
  </x:sheetData>
  <x:pageMargins left="0.7" right="0.7" top="0.75" bottom="0.75" header="0.3" footer="0.3"/>
</x: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Usuario invitado</cp:lastModifiedBy>
  <cp:revision/>
  <dcterms:created xsi:type="dcterms:W3CDTF">2023-08-07T04:08:01Z</dcterms:created>
  <dcterms:modified xsi:type="dcterms:W3CDTF">2024-11-25T13:38:07Z</dcterms:modified>
  <cp:category/>
  <cp:contentStatus/>
</cp:coreProperties>
</file>