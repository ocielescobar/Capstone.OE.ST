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79cc17b6db4a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lla" sheetId="1" r:id="R92623fff503046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0"/>
      <x:color rgb="FF172B3A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23448"/>
      </x:patternFill>
    </x:fill>
    <x:fill>
      <x:patternFill patternType="solid">
        <x:fgColor rgb="FF243746"/>
      </x:patternFill>
    </x:fill>
    <x:fill>
      <x:patternFill patternType="solid">
        <x:fgColor rgb="FFF1F5F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4">
    <x:dxf>
      <x:font>
        <x:b/>
        <x:color rgb="FF9D1C20"/>
      </x:font>
      <x:fill>
        <x:patternFill patternType="solid">
          <x:bgColor rgb="FFFDE9E7"/>
        </x:patternFill>
      </x:fill>
    </x:dxf>
    <x:dxf>
      <x:font>
        <x:b/>
        <x:color rgb="FF9D1C20"/>
      </x:font>
      <x:fill>
        <x:patternFill patternType="solid">
          <x:bgColor rgb="FFFDE9E7"/>
        </x:patternFill>
      </x:fill>
    </x:dxf>
    <x:dxf>
      <x:font>
        <x:b/>
        <x:color rgb="FF9D1C20"/>
      </x:font>
      <x:fill>
        <x:patternFill patternType="solid">
          <x:bgColor rgb="FFFDE9E7"/>
        </x:patternFill>
      </x:fill>
    </x:dxf>
    <x:dxf>
      <x:font>
        <x:color rgb="FF7A4B00"/>
      </x:font>
      <x:fill>
        <x:patternFill patternType="solid">
          <x:bgColor rgb="FFFFF2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512c7a9f3f481a" /><Relationship Type="http://schemas.openxmlformats.org/officeDocument/2006/relationships/theme" Target="/xl/theme/theme1.xml" Id="R9d29b2bd66e34efc" /><Relationship Type="http://schemas.openxmlformats.org/officeDocument/2006/relationships/sharedStrings" Target="/xl/sharedStrings.xml" Id="R0ae3c8ddd9334bf8" /><Relationship Type="http://schemas.openxmlformats.org/officeDocument/2006/relationships/worksheet" Target="/xl/worksheets/sheet1.xml" Id="R92623fff503046d0" /></Relationships>
</file>

<file path=xl/tables/table1.xml><?xml version="1.0" encoding="utf-8"?>
<x:table xmlns:x="http://schemas.openxmlformats.org/spreadsheetml/2006/main" id="1" name="CasosPrueba" displayName="CasosPrueba" ref="A1:I31" headerRowCount="1" totalsRowCount="0" totalsRowShown="0">
  <x:tableColumns count="9">
    <x:tableColumn id="1" name="ID"/>
    <x:tableColumn id="2" name="Tipo"/>
    <x:tableColumn id="3" name="Caso de prueba"/>
    <x:tableColumn id="4" name="Entrada de prueba"/>
    <x:tableColumn id="5" name="Resultado esperado"/>
    <x:tableColumn id="6" name="Resultado obtenido"/>
    <x:tableColumn id="7" name="Estado"/>
    <x:tableColumn id="8" name="Historia relacionada"/>
    <x:tableColumn id="9" name="Evidencia y alc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29d810dee24fc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0" hidden="0" customWidth="1"/>
    <x:col min="2" max="2" width="16.8799991607666" hidden="0" customWidth="1"/>
    <x:col min="3" max="3" width="31.25" hidden="0" customWidth="1"/>
    <x:col min="4" max="4" width="45" hidden="0" customWidth="1"/>
    <x:col min="5" max="5" width="52.5" hidden="0" customWidth="1"/>
    <x:col min="6" max="6" width="43.75" hidden="0" customWidth="1"/>
    <x:col min="7" max="7" width="18.1299991607666" hidden="0" customWidth="1"/>
    <x:col min="8" max="8" width="11.25" hidden="0" customWidth="1"/>
    <x:col min="9" max="9" width="40" hidden="0" customWidth="1"/>
    <x:col min="12" max="12" width="23.75" hidden="0" customWidth="1"/>
    <x:col min="13" max="13" width="67.5" hidden="0" customWidth="1"/>
  </x:cols>
  <x:sheetData>
    <x:row r="1" ht="36" customHeight="1">
      <x:c r="A1" s="12" t="str">
        <x:v>ID</x:v>
      </x:c>
      <x:c r="B1" s="12" t="str">
        <x:v>Tipo</x:v>
      </x:c>
      <x:c r="C1" s="12" t="str">
        <x:v>Caso de prueba</x:v>
      </x:c>
      <x:c r="D1" s="12" t="str">
        <x:v>Entrada de prueba</x:v>
      </x:c>
      <x:c r="E1" s="12" t="str">
        <x:v>Resultado esperado</x:v>
      </x:c>
      <x:c r="F1" s="12" t="str">
        <x:v>Resultado obtenido</x:v>
      </x:c>
      <x:c r="G1" s="12" t="str">
        <x:v>Estado</x:v>
      </x:c>
      <x:c r="H1" s="12" t="str">
        <x:v>Historia relacionada</x:v>
      </x:c>
      <x:c r="I1" s="12" t="str">
        <x:v>Evidencia y alcance</x:v>
      </x:c>
      <x:c r="L1" s="14" t="str">
        <x:v>Fuente</x:v>
      </x:c>
      <x:c r="M1" s="14" t="str">
        <x:v>Flujo actual de 39 nodos; fixtures ficticios</x:v>
      </x:c>
    </x:row>
    <x:row r="2" ht="86" customHeight="1">
      <x:c r="A2" s="13" t="str">
        <x:v>CP-01</x:v>
      </x:c>
      <x:c r="B2" s="13" t="str">
        <x:v>Unitaria local</x:v>
      </x:c>
      <x:c r="C2" s="13" t="str">
        <x:v>Normalizar fecha ISO válida</x:v>
      </x:c>
      <x:c r="D2" s="13" t="str">
        <x:v>fecha_inicio_base=2026-03-05T00:00:00Z</x:v>
      </x:c>
      <x:c r="E2" s="13" t="str">
        <x:v>fecha_inicio_sql=2026-03-05.</x:v>
      </x:c>
      <x:c r="F2" s="13" t="str">
        <x:v>{"fecha_inicio_sql":"2026-03-05"}</x:v>
      </x:c>
      <x:c r="G2" s="13" t="str">
        <x:v>Aprobada local</x:v>
      </x:c>
      <x:c r="H2" s="13" t="str">
        <x:v>HU-04</x:v>
      </x:c>
      <x:c r="I2" s="13" t="str">
        <x:v>21-10-2026. Nodo: Normalizar fechas de vigencia. Ejecución JavaScript local aislada; sin BD ni envío.</x:v>
      </x:c>
      <x:c r="L2" s="14" t="str">
        <x:v>Método</x:v>
      </x:c>
      <x:c r="M2" s="14" t="str">
        <x:v>Código JS original invocado con entradas aisladas</x:v>
      </x:c>
    </x:row>
    <x:row r="3" ht="86" customHeight="1">
      <x:c r="A3" s="9" t="str">
        <x:v>CP-02</x:v>
      </x:c>
      <x:c r="B3" s="9" t="str">
        <x:v>Unitaria local</x:v>
      </x:c>
      <x:c r="C3" s="9" t="str">
        <x:v>Conservar ausencia de fecha</x:v>
      </x:c>
      <x:c r="D3" s="9" t="str">
        <x:v>fecha_inicio_base=null</x:v>
      </x:c>
      <x:c r="E3" s="9" t="str">
        <x:v>fecha_inicio_sql=null.</x:v>
      </x:c>
      <x:c r="F3" s="9" t="str">
        <x:v>{"fecha_inicio_sql":null}</x:v>
      </x:c>
      <x:c r="G3" s="9" t="str">
        <x:v>Aprobada local</x:v>
      </x:c>
      <x:c r="H3" s="9" t="str">
        <x:v>HU-04</x:v>
      </x:c>
      <x:c r="I3" s="9" t="str">
        <x:v>21-10-2026. Nodo: Normalizar fechas de vigencia. Ejecución JavaScript local aislada; sin BD ni envío.</x:v>
      </x:c>
      <x:c r="L3" s="14" t="str">
        <x:v>Alcance</x:v>
      </x:c>
      <x:c r="M3" s="14" t="str">
        <x:v>No valida expresiones n8n, SQL, permisos ni correo</x:v>
      </x:c>
    </x:row>
    <x:row r="4" ht="86" customHeight="1">
      <x:c r="A4" s="13" t="str">
        <x:v>CP-03</x:v>
      </x:c>
      <x:c r="B4" s="13" t="str">
        <x:v>Unitaria local</x:v>
      </x:c>
      <x:c r="C4" s="13" t="str">
        <x:v>Rechazar día imposible</x:v>
      </x:c>
      <x:c r="D4" s="13" t="str">
        <x:v>fecha_inicio_base=2026-02-31</x:v>
      </x:c>
      <x:c r="E4" s="13" t="str">
        <x:v>Rechazar o devolver null; no aceptar el día inexistente.</x:v>
      </x:c>
      <x:c r="F4" s="13" t="str">
        <x:v>{"fecha_inicio_sql":"2026-02-31"}</x:v>
      </x:c>
      <x:c r="G4" s="13" t="str">
        <x:v>Fallida local</x:v>
      </x:c>
      <x:c r="H4" s="13" t="str">
        <x:v>HU-04</x:v>
      </x:c>
      <x:c r="I4" s="13" t="str">
        <x:v>21-10-2026. Nodo: Normalizar fechas de vigencia. Ejecución JavaScript local aislada; sin BD ni envío.</x:v>
      </x:c>
      <x:c r="L4" s="14" t="str">
        <x:v>Regla</x:v>
      </x:c>
      <x:c r="M4" s="14" t="str">
        <x:v>No marcar integración aprobada sin evidencia</x:v>
      </x:c>
    </x:row>
    <x:row r="5" ht="86" customHeight="1">
      <x:c r="A5" s="9" t="str">
        <x:v>CP-04</x:v>
      </x:c>
      <x:c r="B5" s="9" t="str">
        <x:v>Unitaria local</x:v>
      </x:c>
      <x:c r="C5" s="9" t="str">
        <x:v>Aceptar propuesta válida</x:v>
      </x:c>
      <x:c r="D5" s="9" t="str">
        <x:v>PRUEBA-001 v1; mes1; inicio 2026-01-01; corte 2026-01-31; entrega 2026-02-20</x:v>
      </x:c>
      <x:c r="E5" s="9" t="str">
        <x:v>propuesta_valida=true.</x:v>
      </x:c>
      <x:c r="F5" s="9" t="str">
        <x:v>{"propuesta_valida":true}</x:v>
      </x:c>
      <x:c r="G5" s="9" t="str">
        <x:v>Aprobada local</x:v>
      </x:c>
      <x:c r="H5" s="9" t="str">
        <x:v>HU-08</x:v>
      </x:c>
      <x:c r="I5" s="9" t="str">
        <x:v>21-10-2026. Nodo: Validar propuesta de plan. Ejecución JavaScript local aislada; sin BD ni envío.</x:v>
      </x:c>
      <x:c r="L5" s="14" t="str">
        <x:v>Total casos</x:v>
      </x:c>
      <x:c r="M5" s="14" t="n">
        <x:f>COUNTA(A2:A31)</x:f>
        <x:v>30</x:v>
      </x:c>
    </x:row>
    <x:row r="6" ht="86" customHeight="1">
      <x:c r="A6" s="13" t="str">
        <x:v>CP-05</x:v>
      </x:c>
      <x:c r="B6" s="13" t="str">
        <x:v>Unitaria local</x:v>
      </x:c>
      <x:c r="C6" s="13" t="str">
        <x:v>Rechazar propuesta sin entrega</x:v>
      </x:c>
      <x:c r="D6" s="13" t="str">
        <x:v>Fixture válido con fecha_entrega_propuesta=null</x:v>
      </x:c>
      <x:c r="E6" s="13" t="str">
        <x:v>propuesta_valida=false y motivo de entrega ausente.</x:v>
      </x:c>
      <x:c r="F6" s="13" t="str">
        <x:v>{"propuesta_valida":false,"errores":"No se calculó la fecha de entrega con el calendario institucional."}</x:v>
      </x:c>
      <x:c r="G6" s="13" t="str">
        <x:v>Aprobada local</x:v>
      </x:c>
      <x:c r="H6" s="13" t="str">
        <x:v>HU-08</x:v>
      </x:c>
      <x:c r="I6" s="13" t="str">
        <x:v>21-10-2026. Nodo: Validar propuesta de plan. Ejecución JavaScript local aislada; sin BD ni envío.</x:v>
      </x:c>
      <x:c r="L6" s="14" t="str">
        <x:v>Aprobadas locales</x:v>
      </x:c>
      <x:c r="M6" s="14" t="n">
        <x:f>COUNTIF(G2:G31,"Aprobada local")</x:f>
        <x:v>7</x:v>
      </x:c>
    </x:row>
    <x:row r="7" ht="86" customHeight="1">
      <x:c r="A7" s="9" t="str">
        <x:v>CP-06</x:v>
      </x:c>
      <x:c r="B7" s="9" t="str">
        <x:v>Unitaria local</x:v>
      </x:c>
      <x:c r="C7" s="9" t="str">
        <x:v>Conservar informe tramitado</x:v>
      </x:c>
      <x:c r="D7" s="9" t="str">
        <x:v>inf_estado=2; inf_fecha_corte=2026-01-15</x:v>
      </x:c>
      <x:c r="E7" s="9" t="str">
        <x:v>accion_correccion=SIN_CAMBIOS.</x:v>
      </x:c>
      <x:c r="F7" s="9" t="str">
        <x:v>{"accion":"SIN_CAMBIOS","corte":"2026-01-15"}</x:v>
      </x:c>
      <x:c r="G7" s="9" t="str">
        <x:v>Aprobada local</x:v>
      </x:c>
      <x:c r="H7" s="9" t="str">
        <x:v>HU-12</x:v>
      </x:c>
      <x:c r="I7" s="9" t="str">
        <x:v>21-10-2026. Nodo: Preparar correcciones mensuales. Ejecución JavaScript local aislada; sin BD ni envío.</x:v>
      </x:c>
      <x:c r="L7" s="14" t="str">
        <x:v>Fallidas locales</x:v>
      </x:c>
      <x:c r="M7" s="14" t="n">
        <x:f>COUNTIF(G2:G31,"Fallida local")</x:f>
        <x:v>5</x:v>
      </x:c>
    </x:row>
    <x:row r="8" ht="86" customHeight="1">
      <x:c r="A8" s="13" t="str">
        <x:v>CP-07</x:v>
      </x:c>
      <x:c r="B8" s="13" t="str">
        <x:v>Unitaria local</x:v>
      </x:c>
      <x:c r="C8" s="13" t="str">
        <x:v>Ajustar corte de informe pendiente</x:v>
      </x:c>
      <x:c r="D8" s="13" t="str">
        <x:v>inf_estado=1; inf_fecha_corte=2026-01-15</x:v>
      </x:c>
      <x:c r="E8" s="13" t="str">
        <x:v>ACTUALIZAR_FECHA_CORTE con 2026-01-31.</x:v>
      </x:c>
      <x:c r="F8" s="13" t="str">
        <x:v>{"accion":"ACTUALIZAR_FECHA_CORTE","corte":"2026-01-31"}</x:v>
      </x:c>
      <x:c r="G8" s="13" t="str">
        <x:v>Aprobada local</x:v>
      </x:c>
      <x:c r="H8" s="13" t="str">
        <x:v>HU-12</x:v>
      </x:c>
      <x:c r="I8" s="13" t="str">
        <x:v>21-10-2026. Nodo: Preparar correcciones mensuales. Ejecución JavaScript local aislada; sin BD ni envío.</x:v>
      </x:c>
      <x:c r="L8" s="14" t="str">
        <x:v>Pendientes</x:v>
      </x:c>
      <x:c r="M8" s="14" t="n">
        <x:f>COUNTIF(G2:G31,"Pendiente")</x:f>
        <x:v>18</x:v>
      </x:c>
    </x:row>
    <x:row r="9" ht="86" customHeight="1">
      <x:c r="A9" s="9" t="str">
        <x:v>CP-08</x:v>
      </x:c>
      <x:c r="B9" s="9" t="str">
        <x:v>Unitaria local</x:v>
      </x:c>
      <x:c r="C9" s="9" t="str">
        <x:v>Bloquear término ausente</x:v>
      </x:c>
      <x:c r="D9" s="9" t="str">
        <x:v>fecha_termino=null; ultima_fecha_corte=2026-01-31</x:v>
      </x:c>
      <x:c r="E9" s="9" t="str">
        <x:v>No marcar plan_finalizado=true; informar término ausente.</x:v>
      </x:c>
      <x:c r="F9" s="9" t="str">
        <x:v>{"plan_finalizado":true,"motivo":"El proyecto ya alcanzó o superó su fecha oficial de término."}</x:v>
      </x:c>
      <x:c r="G9" s="9" t="str">
        <x:v>Fallida local</x:v>
      </x:c>
      <x:c r="H9" s="9" t="str">
        <x:v>HU-13</x:v>
      </x:c>
      <x:c r="I9" s="9" t="str">
        <x:v>21-10-2026. Nodo: Calcular siguiente informe mensual. Ejecución JavaScript local aislada; sin BD ni envío.</x:v>
      </x:c>
      <x:c r="L9" s="14" t="str">
        <x:v>Integradas aprobadas</x:v>
      </x:c>
      <x:c r="M9" s="14" t="n">
        <x:f>COUNTIF(G2:G31,"Aprobada integrada")</x:f>
        <x:v>0</x:v>
      </x:c>
    </x:row>
    <x:row r="10" ht="86" customHeight="1">
      <x:c r="A10" s="13" t="str">
        <x:v>CP-09</x:v>
      </x:c>
      <x:c r="B10" s="13" t="str">
        <x:v>Unitaria local</x:v>
      </x:c>
      <x:c r="C10" s="13" t="str">
        <x:v>Avanzar de enero a febrero</x:v>
      </x:c>
      <x:c r="D10" s="13" t="str">
        <x:v>último corte 2026-01-31; término 2026-12-31</x:v>
      </x:c>
      <x:c r="E10" s="13" t="str">
        <x:v>siguiente_fecha_corte=2026-02-28.</x:v>
      </x:c>
      <x:c r="F10" s="13" t="str">
        <x:v>{"corte":"2026-03-03","entrega":"2026-03-18"}</x:v>
      </x:c>
      <x:c r="G10" s="13" t="str">
        <x:v>Fallida local</x:v>
      </x:c>
      <x:c r="H10" s="13" t="str">
        <x:v>HU-13</x:v>
      </x:c>
      <x:c r="I10" s="13" t="str">
        <x:v>21-10-2026. Nodo: Calcular siguiente informe mensual. Ejecución JavaScript local aislada; sin BD ni envío.</x:v>
      </x:c>
    </x:row>
    <x:row r="11" ht="86" customHeight="1">
      <x:c r="A11" s="9" t="str">
        <x:v>CP-10</x:v>
      </x:c>
      <x:c r="B11" s="9" t="str">
        <x:v>Unitaria local</x:v>
      </x:c>
      <x:c r="C11" s="9" t="str">
        <x:v>Reconocer cobertura de vigencia</x:v>
      </x:c>
      <x:c r="D11" s="9" t="str">
        <x:v>último corte y término 2026-12-31</x:v>
      </x:c>
      <x:c r="E11" s="9" t="str">
        <x:v>plan_finalizado=true.</x:v>
      </x:c>
      <x:c r="F11" s="9" t="str">
        <x:v>{"plan_finalizado":true}</x:v>
      </x:c>
      <x:c r="G11" s="9" t="str">
        <x:v>Aprobada local</x:v>
      </x:c>
      <x:c r="H11" s="9" t="str">
        <x:v>HU-13</x:v>
      </x:c>
      <x:c r="I11" s="9" t="str">
        <x:v>21-10-2026. Nodo: Calcular siguiente informe mensual. Ejecución JavaScript local aislada; sin BD ni envío.</x:v>
      </x:c>
    </x:row>
    <x:row r="12" ht="86" customHeight="1">
      <x:c r="A12" s="13" t="str">
        <x:v>CP-11</x:v>
      </x:c>
      <x:c r="B12" s="13" t="str">
        <x:v>Unitaria local</x:v>
      </x:c>
      <x:c r="C12" s="13" t="str">
        <x:v>Conservar origen del plazo final</x:v>
      </x:c>
      <x:c r="D12" s="13" t="str">
        <x:v>tipo4; entrega propuesta 2026-02-20; final base 2026-03-15</x:v>
      </x:c>
      <x:c r="E12" s="13" t="str">
        <x:v>Usar 2026-03-15 si se declara PLAZO_FINAL_EXISTENTE.</x:v>
      </x:c>
      <x:c r="F12" s="13" t="str">
        <x:v>{"entrega":"2026-02-20","metodo":"PLAZO_FINAL_EXISTENTE"}</x:v>
      </x:c>
      <x:c r="G12" s="13" t="str">
        <x:v>Fallida local</x:v>
      </x:c>
      <x:c r="H12" s="13" t="str">
        <x:v>HU-07</x:v>
      </x:c>
      <x:c r="I12" s="13" t="str">
        <x:v>21-10-2026. Nodo: Calcular entregas mensuales provisionales. Ejecución JavaScript local aislada; sin BD ni envío.</x:v>
      </x:c>
    </x:row>
    <x:row r="13" ht="86" customHeight="1">
      <x:c r="A13" s="9" t="str">
        <x:v>CP-12</x:v>
      </x:c>
      <x:c r="B13" s="9" t="str">
        <x:v>Unitaria local</x:v>
      </x:c>
      <x:c r="C13" s="9" t="str">
        <x:v>Conservar simulación de entrada</x:v>
      </x:c>
      <x:c r="D13" s="9" t="str">
        <x:v>propuesta válida; modo_simulacion=true; aplicar_cambio=false</x:v>
      </x:c>
      <x:c r="E13" s="9" t="str">
        <x:v>La validación conserva true y false respectivamente.</x:v>
      </x:c>
      <x:c r="F13" s="9" t="str">
        <x:v>{"modo_simulacion":false,"aplicar_cambio":true}</x:v>
      </x:c>
      <x:c r="G13" s="9" t="str">
        <x:v>Fallida local</x:v>
      </x:c>
      <x:c r="H13" s="9" t="str">
        <x:v>HU-09</x:v>
      </x:c>
      <x:c r="I13" s="9" t="str">
        <x:v>21-10-2026. Nodo: Validar propuesta de plan. Ejecución JavaScript local aislada; sin BD ni envío.</x:v>
      </x:c>
    </x:row>
    <x:row r="14" ht="86" customHeight="1">
      <x:c r="A14" s="13" t="str">
        <x:v>CP-13</x:v>
      </x:c>
      <x:c r="B14" s="13" t="str">
        <x:v>Integración SQL</x:v>
      </x:c>
      <x:c r="C14" s="13" t="str">
        <x:v>Seleccionar proyectos elegibles</x:v>
      </x:c>
      <x:c r="D14" s="13" t="str">
        <x:v>Fixtures R2 y no R2; estados, categorías y semáforo combinados</x:v>
      </x:c>
      <x:c r="E14" s="13" t="str">
        <x:v>Solo elegibles y máxima versión aplicable; conteo independiente.</x:v>
      </x:c>
      <x:c r="F14" s="13" t="str">
        <x:v>No ejecutada en n8n ni SQL.</x:v>
      </x:c>
      <x:c r="G14" s="13" t="str">
        <x:v>Pendiente</x:v>
      </x:c>
      <x:c r="H14" s="13" t="str">
        <x:v>HU-01</x:v>
      </x:c>
      <x:c r="I14" s="13" t="str">
        <x:v>Requiere ambiente autorizado y evidencia de ejecución.</x:v>
      </x:c>
    </x:row>
    <x:row r="15" ht="86" customHeight="1">
      <x:c r="A15" s="9" t="str">
        <x:v>CP-14</x:v>
      </x:c>
      <x:c r="B15" s="9" t="str">
        <x:v>Integración n8n</x:v>
      </x:c>
      <x:c r="C15" s="9" t="str">
        <x:v>Enrutar por existencia de informes</x:v>
      </x:c>
      <x:c r="D15" s="9" t="str">
        <x:v>Proyecto A sin informes; B con informes</x:v>
      </x:c>
      <x:c r="E15" s="9" t="str">
        <x:v>A ruta CREAR_PLAN y B CONFIGURAR_PLAN_EXISTENTE.</x:v>
      </x:c>
      <x:c r="F15" s="9" t="str">
        <x:v>No ejecutada en n8n ni SQL.</x:v>
      </x:c>
      <x:c r="G15" s="9" t="str">
        <x:v>Pendiente</x:v>
      </x:c>
      <x:c r="H15" s="9" t="str">
        <x:v>HU-03</x:v>
      </x:c>
      <x:c r="I15" s="9" t="str">
        <x:v>Requiere ambiente autorizado y evidencia de ejecución.</x:v>
      </x:c>
    </x:row>
    <x:row r="16" ht="86" customHeight="1">
      <x:c r="A16" s="13" t="str">
        <x:v>CP-15</x:v>
      </x:c>
      <x:c r="B16" s="13" t="str">
        <x:v>Integración SQL</x:v>
      </x:c>
      <x:c r="C16" s="13" t="str">
        <x:v>Calcular primer periodo parcial</x:v>
      </x:c>
      <x:c r="D16" s="13" t="str">
        <x:v>Inicio 2026-01-15; término 2026-04-10; sin informes</x:v>
      </x:c>
      <x:c r="E16" s="13" t="str">
        <x:v>Número 1; corte 2026-01-31; tipo2; no periodo fuera de vigencia.</x:v>
      </x:c>
      <x:c r="F16" s="13" t="str">
        <x:v>No ejecutada en n8n ni SQL.</x:v>
      </x:c>
      <x:c r="G16" s="13" t="str">
        <x:v>Pendiente</x:v>
      </x:c>
      <x:c r="H16" s="13" t="str">
        <x:v>HU-05</x:v>
      </x:c>
      <x:c r="I16" s="13" t="str">
        <x:v>Requiere ambiente autorizado y evidencia de ejecución.</x:v>
      </x:c>
    </x:row>
    <x:row r="17" ht="86" customHeight="1">
      <x:c r="A17" s="9" t="str">
        <x:v>CP-16</x:v>
      </x:c>
      <x:c r="B17" s="9" t="str">
        <x:v>Integración SQL</x:v>
      </x:c>
      <x:c r="C17" s="9" t="str">
        <x:v>Contar 15 días hábiles</x:v>
      </x:c>
      <x:c r="D17" s="9" t="str">
        <x:v>Calendario de prueba con fines de semana y feriado</x:v>
      </x:c>
      <x:c r="E17" s="9" t="str">
        <x:v>Entrega igual al día hábil 15 posterior al corte, calculado independientemente.</x:v>
      </x:c>
      <x:c r="F17" s="9" t="str">
        <x:v>No ejecutada en n8n ni SQL.</x:v>
      </x:c>
      <x:c r="G17" s="9" t="str">
        <x:v>Pendiente</x:v>
      </x:c>
      <x:c r="H17" s="9" t="str">
        <x:v>HU-06</x:v>
      </x:c>
      <x:c r="I17" s="9" t="str">
        <x:v>Requiere ambiente autorizado y evidencia de ejecución.</x:v>
      </x:c>
    </x:row>
    <x:row r="18" ht="86" customHeight="1">
      <x:c r="A18" s="13" t="str">
        <x:v>CP-17</x:v>
      </x:c>
      <x:c r="B18" s="13" t="str">
        <x:v>Integración SQL</x:v>
      </x:c>
      <x:c r="C18" s="13" t="str">
        <x:v>Bloquear calendario insuficiente</x:v>
      </x:c>
      <x:c r="D18" s="13" t="str">
        <x:v>Solo 10 días hábiles futuros disponibles</x:v>
      </x:c>
      <x:c r="E18" s="13" t="str">
        <x:v>Bloquear propuesta; no usar el máximo de diez días como si fueran quince.</x:v>
      </x:c>
      <x:c r="F18" s="13" t="str">
        <x:v>No ejecutada en n8n ni SQL.</x:v>
      </x:c>
      <x:c r="G18" s="13" t="str">
        <x:v>Pendiente</x:v>
      </x:c>
      <x:c r="H18" s="13" t="str">
        <x:v>HU-06</x:v>
      </x:c>
      <x:c r="I18" s="13" t="str">
        <x:v>Requiere ambiente autorizado y evidencia de ejecución.</x:v>
      </x:c>
    </x:row>
    <x:row r="19" ht="86" customHeight="1">
      <x:c r="A19" s="9" t="str">
        <x:v>CP-18</x:v>
      </x:c>
      <x:c r="B19" s="9" t="str">
        <x:v>Seguridad integrada</x:v>
      </x:c>
      <x:c r="C19" s="9" t="str">
        <x:v>Simular todas las ramas</x:v>
      </x:c>
      <x:c r="D19" s="9" t="str">
        <x:v>Simulación central activa; fixtures de creación y corrección</x:v>
      </x:c>
      <x:c r="E19" s="9" t="str">
        <x:v>Cero escrituras verificadas en BD; ningún nodo reactiva indicadores.</x:v>
      </x:c>
      <x:c r="F19" s="9" t="str">
        <x:v>No ejecutada en n8n ni SQL.</x:v>
      </x:c>
      <x:c r="G19" s="9" t="str">
        <x:v>Pendiente</x:v>
      </x:c>
      <x:c r="H19" s="9" t="str">
        <x:v>HU-09</x:v>
      </x:c>
      <x:c r="I19" s="9" t="str">
        <x:v>Requiere ambiente autorizado y evidencia de ejecución.</x:v>
      </x:c>
    </x:row>
    <x:row r="20" ht="86" customHeight="1">
      <x:c r="A20" s="13" t="str">
        <x:v>CP-19</x:v>
      </x:c>
      <x:c r="B20" s="13" t="str">
        <x:v>Integración SQL</x:v>
      </x:c>
      <x:c r="C20" s="13" t="str">
        <x:v>Insertar solo en entorno autorizado</x:v>
      </x:c>
      <x:c r="D20" s="13" t="str">
        <x:v>Informe válido con autorización de prueba</x:v>
      </x:c>
      <x:c r="E20" s="13" t="str">
        <x:v>Una fila persistida y verificada; ejecutar solo después de habilitar INS en copia de prueba.</x:v>
      </x:c>
      <x:c r="F20" s="13" t="str">
        <x:v>No ejecutada en n8n ni SQL.</x:v>
      </x:c>
      <x:c r="G20" s="13" t="str">
        <x:v>Pendiente</x:v>
      </x:c>
      <x:c r="H20" s="13" t="str">
        <x:v>HU-11</x:v>
      </x:c>
      <x:c r="I20" s="13" t="str">
        <x:v>Requiere ambiente autorizado y evidencia de ejecución.</x:v>
      </x:c>
    </x:row>
    <x:row r="21" ht="86" customHeight="1">
      <x:c r="A21" s="9" t="str">
        <x:v>CP-20</x:v>
      </x:c>
      <x:c r="B21" s="9" t="str">
        <x:v>Concurrencia</x:v>
      </x:c>
      <x:c r="C21" s="9" t="str">
        <x:v>Evitar duplicado concurrente</x:v>
      </x:c>
      <x:c r="D21" s="9" t="str">
        <x:v>Dos ejecuciones para mismo proyecto, versión y número</x:v>
      </x:c>
      <x:c r="E21" s="9" t="str">
        <x:v>Una inserción como máximo; segundo intento termina con diagnóstico sin duplicación.</x:v>
      </x:c>
      <x:c r="F21" s="9" t="str">
        <x:v>No ejecutada en n8n ni SQL.</x:v>
      </x:c>
      <x:c r="G21" s="9" t="str">
        <x:v>Pendiente</x:v>
      </x:c>
      <x:c r="H21" s="9" t="str">
        <x:v>HU-10</x:v>
      </x:c>
      <x:c r="I21" s="9" t="str">
        <x:v>Requiere ambiente autorizado y evidencia de ejecución.</x:v>
      </x:c>
    </x:row>
    <x:row r="22" ht="86" customHeight="1">
      <x:c r="A22" s="13" t="str">
        <x:v>CP-21</x:v>
      </x:c>
      <x:c r="B22" s="13" t="str">
        <x:v>Integración n8n</x:v>
      </x:c>
      <x:c r="C22" s="13" t="str">
        <x:v>Continuar sin correcciones aplicables</x:v>
      </x:c>
      <x:c r="D22" s="13" t="str">
        <x:v>Dos proyectos; el primero con cortes ya correctos</x:v>
      </x:c>
      <x:c r="E22" s="13" t="str">
        <x:v>Ambos terminan y llegan al resumen; no detenerse por Filter vacío.</x:v>
      </x:c>
      <x:c r="F22" s="13" t="str">
        <x:v>No ejecutada en n8n ni SQL.</x:v>
      </x:c>
      <x:c r="G22" s="13" t="str">
        <x:v>Pendiente</x:v>
      </x:c>
      <x:c r="H22" s="13" t="str">
        <x:v>HU-16</x:v>
      </x:c>
      <x:c r="I22" s="13" t="str">
        <x:v>Requiere ambiente autorizado y evidencia de ejecución.</x:v>
      </x:c>
    </x:row>
    <x:row r="23" ht="86" customHeight="1">
      <x:c r="A23" s="9" t="str">
        <x:v>CP-22</x:v>
      </x:c>
      <x:c r="B23" s="9" t="str">
        <x:v>Integración n8n</x:v>
      </x:c>
      <x:c r="C23" s="9" t="str">
        <x:v>Conciliar métricas y simulaciones</x:v>
      </x:c>
      <x:c r="D23" s="9" t="str">
        <x:v>Lote de fixtures con creación simulada, corrección y alerta</x:v>
      </x:c>
      <x:c r="E23" s="9" t="str">
        <x:v>Total igual a proyectos únicos; simulados separados de cambios persistidos.</x:v>
      </x:c>
      <x:c r="F23" s="9" t="str">
        <x:v>No ejecutada en n8n ni SQL.</x:v>
      </x:c>
      <x:c r="G23" s="9" t="str">
        <x:v>Pendiente</x:v>
      </x:c>
      <x:c r="H23" s="9" t="str">
        <x:v>HU-15</x:v>
      </x:c>
      <x:c r="I23" s="9" t="str">
        <x:v>Requiere ambiente autorizado y evidencia de ejecución.</x:v>
      </x:c>
    </x:row>
    <x:row r="24" ht="86" customHeight="1">
      <x:c r="A24" s="13" t="str">
        <x:v>CP-23</x:v>
      </x:c>
      <x:c r="B24" s="13" t="str">
        <x:v>Operación</x:v>
      </x:c>
      <x:c r="C24" s="13" t="str">
        <x:v>Verificar horario de Chile</x:v>
      </x:c>
      <x:c r="D24" s="13" t="str">
        <x:v>Instancia de prueba con timezone America/Santiago</x:v>
      </x:c>
      <x:c r="E24" s="13" t="str">
        <x:v>Disparo 07:00 local y evidencia de zona; no basta nombre del nodo.</x:v>
      </x:c>
      <x:c r="F24" s="13" t="str">
        <x:v>No ejecutada en n8n ni SQL.</x:v>
      </x:c>
      <x:c r="G24" s="13" t="str">
        <x:v>Pendiente</x:v>
      </x:c>
      <x:c r="H24" s="13" t="str">
        <x:v>HU-02</x:v>
      </x:c>
      <x:c r="I24" s="13" t="str">
        <x:v>Requiere ambiente autorizado y evidencia de ejecución.</x:v>
      </x:c>
    </x:row>
    <x:row r="25" ht="86" customHeight="1">
      <x:c r="A25" s="9" t="str">
        <x:v>CP-24</x:v>
      </x:c>
      <x:c r="B25" s="9" t="str">
        <x:v>Seguridad</x:v>
      </x:c>
      <x:c r="C25" s="9" t="str">
        <x:v>Verificar permisos y tratamiento de datos</x:v>
      </x:c>
      <x:c r="D25" s="9" t="str">
        <x:v>Credencial restringida y datos ficticios; HTML con caracteres especiales</x:v>
      </x:c>
      <x:c r="E25" s="9" t="str">
        <x:v>Sin secretos en exportación; acceso mínimo; caracteres escapados en correo.</x:v>
      </x:c>
      <x:c r="F25" s="9" t="str">
        <x:v>No ejecutada en n8n ni SQL.</x:v>
      </x:c>
      <x:c r="G25" s="9" t="str">
        <x:v>Pendiente</x:v>
      </x:c>
      <x:c r="H25" s="9" t="str">
        <x:v>HU-14</x:v>
      </x:c>
      <x:c r="I25" s="9" t="str">
        <x:v>Requiere ambiente autorizado y evidencia de ejecución.</x:v>
      </x:c>
    </x:row>
    <x:row r="26" ht="86" customHeight="1">
      <x:c r="A26" s="13" t="str">
        <x:v>CP-25</x:v>
      </x:c>
      <x:c r="B26" s="13" t="str">
        <x:v>Accesibilidad</x:v>
      </x:c>
      <x:c r="C26" s="13" t="str">
        <x:v>Leer resumen sin depender del color</x:v>
      </x:c>
      <x:c r="D26" s="13" t="str">
        <x:v>Correo de prueba con todas las categorías</x:v>
      </x:c>
      <x:c r="E26" s="13" t="str">
        <x:v>Encabezados identificables, texto legible y resultados entendibles sin color.</x:v>
      </x:c>
      <x:c r="F26" s="13" t="str">
        <x:v>No ejecutada en n8n ni SQL.</x:v>
      </x:c>
      <x:c r="G26" s="13" t="str">
        <x:v>Pendiente</x:v>
      </x:c>
      <x:c r="H26" s="13" t="str">
        <x:v>HU-14</x:v>
      </x:c>
      <x:c r="I26" s="13" t="str">
        <x:v>Requiere ambiente autorizado y evidencia de ejecución.</x:v>
      </x:c>
    </x:row>
    <x:row r="27" ht="86" customHeight="1">
      <x:c r="A27" s="9" t="str">
        <x:v>CP-26</x:v>
      </x:c>
      <x:c r="B27" s="9" t="str">
        <x:v>Trazabilidad</x:v>
      </x:c>
      <x:c r="C27" s="9" t="str">
        <x:v>Recuperar detalle después del lote</x:v>
      </x:c>
      <x:c r="D27" s="9" t="str">
        <x:v>Ejecución con simulación y fallo manejado</x:v>
      </x:c>
      <x:c r="E27" s="9" t="str">
        <x:v>Detalle por proyecto recuperable con ID de ejecución y modo durante retención acordada.</x:v>
      </x:c>
      <x:c r="F27" s="9" t="str">
        <x:v>No ejecutada en n8n ni SQL.</x:v>
      </x:c>
      <x:c r="G27" s="9" t="str">
        <x:v>Pendiente</x:v>
      </x:c>
      <x:c r="H27" s="9" t="str">
        <x:v>HU-15</x:v>
      </x:c>
      <x:c r="I27" s="9" t="str">
        <x:v>Requiere ambiente autorizado y evidencia de ejecución.</x:v>
      </x:c>
    </x:row>
    <x:row r="28" ht="86" customHeight="1">
      <x:c r="A28" s="13" t="str">
        <x:v>CP-27</x:v>
      </x:c>
      <x:c r="B28" s="13" t="str">
        <x:v>Rendimiento</x:v>
      </x:c>
      <x:c r="C28" s="13" t="str">
        <x:v>Medir lote de referencia</x:v>
      </x:c>
      <x:c r="D28" s="13" t="str">
        <x:v>100 proyectos ficticios en desarrollo</x:v>
      </x:c>
      <x:c r="E28" s="13" t="str">
        <x:v>Tiempo total &lt;=10 min como meta propuesta; registrar ambiente y mediciones.</x:v>
      </x:c>
      <x:c r="F28" s="13" t="str">
        <x:v>No ejecutada en n8n ni SQL.</x:v>
      </x:c>
      <x:c r="G28" s="13" t="str">
        <x:v>Pendiente</x:v>
      </x:c>
      <x:c r="H28" s="13" t="str">
        <x:v>HU-01</x:v>
      </x:c>
      <x:c r="I28" s="13" t="str">
        <x:v>Requiere ambiente autorizado y evidencia de ejecución.</x:v>
      </x:c>
    </x:row>
    <x:row r="29" ht="86" customHeight="1">
      <x:c r="A29" s="9" t="str">
        <x:v>CP-28</x:v>
      </x:c>
      <x:c r="B29" s="9" t="str">
        <x:v>Revisión documental</x:v>
      </x:c>
      <x:c r="C29" s="9" t="str">
        <x:v>Revisar trazabilidad entre artefactos</x:v>
      </x:c>
      <x:c r="D29" s="9" t="str">
        <x:v>HU, RNF, casos, UML y entidades</x:v>
      </x:c>
      <x:c r="E29" s="9" t="str">
        <x:v>Cada función principal tiene HU y prueba; modelo distingue FK inferida de confirmada.</x:v>
      </x:c>
      <x:c r="F29" s="9" t="str">
        <x:v>No ejecutada en n8n ni SQL.</x:v>
      </x:c>
      <x:c r="G29" s="9" t="str">
        <x:v>Pendiente</x:v>
      </x:c>
      <x:c r="H29" s="9" t="str">
        <x:v>HU-18</x:v>
      </x:c>
      <x:c r="I29" s="9" t="str">
        <x:v>Requiere ambiente autorizado y evidencia de ejecución.</x:v>
      </x:c>
    </x:row>
    <x:row r="30" ht="86" customHeight="1">
      <x:c r="A30" s="13" t="str">
        <x:v>CP-29</x:v>
      </x:c>
      <x:c r="B30" s="13" t="str">
        <x:v>Recuperación</x:v>
      </x:c>
      <x:c r="C30" s="13" t="str">
        <x:v>Manejar cero proyectos y servicios caídos</x:v>
      </x:c>
      <x:c r="D30" s="13" t="str">
        <x:v>Cero filas SQL; fallo SQL; fallo del subflujo correo en ejecuciones separadas</x:v>
      </x:c>
      <x:c r="E30" s="13" t="str">
        <x:v>Resumen vacío o diagnóstico recuperable; sin duplicados ni interrupción silenciosa.</x:v>
      </x:c>
      <x:c r="F30" s="13" t="str">
        <x:v>No ejecutada en n8n ni SQL.</x:v>
      </x:c>
      <x:c r="G30" s="13" t="str">
        <x:v>Pendiente</x:v>
      </x:c>
      <x:c r="H30" s="13" t="str">
        <x:v>HU-16</x:v>
      </x:c>
      <x:c r="I30" s="13" t="str">
        <x:v>Requiere ambiente autorizado y evidencia de ejecución.</x:v>
      </x:c>
    </x:row>
    <x:row r="31" ht="86" customHeight="1">
      <x:c r="A31" s="9" t="str">
        <x:v>CP-30</x:v>
      </x:c>
      <x:c r="B31" s="9" t="str">
        <x:v>Revisión de evidencia</x:v>
      </x:c>
      <x:c r="C31" s="9" t="str">
        <x:v>Distinguir prueba local de integrada</x:v>
      </x:c>
      <x:c r="D31" s="9" t="str">
        <x:v>Resultados locales y casos pendientes</x:v>
      </x:c>
      <x:c r="E31" s="9" t="str">
        <x:v>Ningún caso SQL o correo aprobado sin evidencia; revisión conjunta de integrantes.</x:v>
      </x:c>
      <x:c r="F31" s="9" t="str">
        <x:v>No ejecutada en n8n ni SQL.</x:v>
      </x:c>
      <x:c r="G31" s="9" t="str">
        <x:v>Pendiente</x:v>
      </x:c>
      <x:c r="H31" s="9" t="str">
        <x:v>HU-17</x:v>
      </x:c>
      <x:c r="I31" s="9" t="str">
        <x:v>Requiere ambiente autorizado y evidencia de ejecución.</x:v>
      </x:c>
    </x:row>
  </x:sheetData>
  <x:conditionalFormatting sqref="G2:G31">
    <x:cfRule type="containsText" dxfId="0" priority="1" operator="containsText" text="Fallida local"/>
    <x:cfRule type="containsText" dxfId="1" priority="2" operator="containsText" text="Fallida integrada"/>
    <x:cfRule type="containsText" dxfId="2" priority="3" operator="containsText" text="Bloqueada"/>
    <x:cfRule type="containsText" dxfId="3" priority="4" operator="containsText" text="Parcial"/>
  </x:conditionalFormatting>
  <x:dataValidations count="1">
    <x:dataValidation type="list" sqref="G2:G31">
      <x:formula1>"Pendiente,Aprobada local,Fallida local,Aprobada integrada,Fallida integrada,Bloqueada"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29d810dee24fce"/>
  </x:tableParts>
</x:worksheet>
</file>