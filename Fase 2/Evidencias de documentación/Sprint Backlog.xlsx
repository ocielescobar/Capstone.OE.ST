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00e00be7a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458f98a1affd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0"/>
      <x:color rgb="FF172B3A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23448"/>
      </x:patternFill>
    </x:fill>
    <x:fill>
      <x:patternFill patternType="solid">
        <x:fgColor rgb="FF243746"/>
      </x:patternFill>
    </x:fill>
    <x:fill>
      <x:patternFill patternType="solid">
        <x:fgColor rgb="FFF1F5F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4">
    <x:dxf>
      <x:font>
        <x:b/>
        <x:color rgb="FF9D1C20"/>
      </x:font>
      <x:fill>
        <x:patternFill patternType="solid">
          <x:bgColor rgb="FFFDE9E7"/>
        </x:patternFill>
      </x:fill>
    </x:dxf>
    <x:dxf>
      <x:font>
        <x:b/>
        <x:color rgb="FF9D1C20"/>
      </x:font>
      <x:fill>
        <x:patternFill patternType="solid">
          <x:bgColor rgb="FFFDE9E7"/>
        </x:patternFill>
      </x:fill>
    </x:dxf>
    <x:dxf>
      <x:font>
        <x:b/>
        <x:color rgb="FF9D1C20"/>
      </x:font>
      <x:fill>
        <x:patternFill patternType="solid">
          <x:bgColor rgb="FFFDE9E7"/>
        </x:patternFill>
      </x:fill>
    </x:dxf>
    <x:dxf>
      <x:font>
        <x:color rgb="FF7A4B00"/>
      </x:font>
      <x:fill>
        <x:patternFill patternType="solid">
          <x:bgColor rgb="FFFFF2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63520920e44a6" /><Relationship Type="http://schemas.openxmlformats.org/officeDocument/2006/relationships/theme" Target="/xl/theme/theme1.xml" Id="Rb1e9397a95344c85" /><Relationship Type="http://schemas.openxmlformats.org/officeDocument/2006/relationships/sharedStrings" Target="/xl/sharedStrings.xml" Id="R61eb81ef1d7c438b" /><Relationship Type="http://schemas.openxmlformats.org/officeDocument/2006/relationships/worksheet" Target="/xl/worksheets/sheet1.xml" Id="R458f98a1affd4976" /></Relationships>
</file>

<file path=xl/tables/table1.xml><?xml version="1.0" encoding="utf-8"?>
<x:table xmlns:x="http://schemas.openxmlformats.org/spreadsheetml/2006/main" id="1" name="SprintBacklog" displayName="SprintBacklog" ref="A1:G23" headerRowCount="1" totalsRowCount="0" totalsRowShown="0">
  <x:tableColumns count="7">
    <x:tableColumn id="1" name="Sprint propuesto"/>
    <x:tableColumn id="2" name="ID historia"/>
    <x:tableColumn id="3" name="Actividad"/>
    <x:tableColumn id="4" name="Responsable propuesto"/>
    <x:tableColumn id="5" name="Estimación en horas"/>
    <x:tableColumn id="6" name="Estado de la tarea"/>
    <x:tableColumn id="7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39091677b247f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.380000114440918" hidden="0" customWidth="1"/>
    <x:col min="2" max="2" width="11.25" hidden="0" customWidth="1"/>
    <x:col min="3" max="3" width="52.5" hidden="0" customWidth="1"/>
    <x:col min="4" max="4" width="20" hidden="0" customWidth="1"/>
    <x:col min="5" max="5" width="13.75" hidden="0" customWidth="1"/>
    <x:col min="6" max="6" width="18.1299991607666" hidden="0" customWidth="1"/>
    <x:col min="7" max="7" width="56.880001068115234" hidden="0" customWidth="1"/>
    <x:col min="10" max="10" width="23.75" hidden="0" customWidth="1"/>
    <x:col min="11" max="11" width="67.5" hidden="0" customWidth="1"/>
  </x:cols>
  <x:sheetData>
    <x:row r="1" ht="36" customHeight="1">
      <x:c r="A1" s="12" t="str">
        <x:v>Sprint propuesto</x:v>
      </x:c>
      <x:c r="B1" s="12" t="str">
        <x:v>ID historia</x:v>
      </x:c>
      <x:c r="C1" s="12" t="str">
        <x:v>Actividad</x:v>
      </x:c>
      <x:c r="D1" s="12" t="str">
        <x:v>Responsable propuesto</x:v>
      </x:c>
      <x:c r="E1" s="12" t="str">
        <x:v>Estimación en horas</x:v>
      </x:c>
      <x:c r="F1" s="12" t="str">
        <x:v>Estado de la tarea</x:v>
      </x:c>
      <x:c r="G1" s="12" t="str">
        <x:v>Observaciones</x:v>
      </x:c>
      <x:c r="J1" s="16" t="str">
        <x:v>Planificación</x:v>
      </x:c>
      <x:c r="K1" s="16" t="str">
        <x:v>Tres sprints propuestos; sin fechas confirmadas</x:v>
      </x:c>
    </x:row>
    <x:row r="2" ht="86" customHeight="1">
      <x:c r="A2" s="13" t="str">
        <x:v>S1 propuesto</x:v>
      </x:c>
      <x:c r="B2" s="13" t="str">
        <x:v>HU-01</x:v>
      </x:c>
      <x:c r="C2" s="13" t="str">
        <x:v>Revisar filtros SQL y preparar fixtures de elegibilidad</x:v>
      </x:c>
      <x:c r="D2" s="13" t="str">
        <x:v>Ociel Escobar</x:v>
      </x:c>
      <x:c r="E2" s="14" t="n">
        <x:v>4</x:v>
      </x:c>
      <x:c r="F2" s="13" t="str">
        <x:v>Por planificar</x:v>
      </x:c>
      <x:c r="G2" s="13" t="str">
        <x:v>Consulta actual presente; falta evidencia SQL.</x:v>
      </x:c>
      <x:c r="J2" s="16" t="str">
        <x:v>Integrantes</x:v>
      </x:c>
      <x:c r="K2" s="16" t="str">
        <x:v>Ociel Escobar y Sebastian Torres</x:v>
      </x:c>
    </x:row>
    <x:row r="3" ht="86" customHeight="1">
      <x:c r="A3" s="9" t="str">
        <x:v>S1 propuesto</x:v>
      </x:c>
      <x:c r="B3" s="9" t="str">
        <x:v>HU-02</x:v>
      </x:c>
      <x:c r="C3" s="9" t="str">
        <x:v>Configurar America/Santiago y comprobar activación</x:v>
      </x:c>
      <x:c r="D3" s="9" t="str">
        <x:v>Sebastian Torres</x:v>
      </x:c>
      <x:c r="E3" s="15" t="n">
        <x:v>2</x:v>
      </x:c>
      <x:c r="F3" s="9" t="str">
        <x:v>Por planificar</x:v>
      </x:c>
      <x:c r="G3" s="9" t="str">
        <x:v>No hay settings de zona en el fragmento.</x:v>
      </x:c>
      <x:c r="J3" s="16" t="str">
        <x:v>Estimaciones</x:v>
      </x:c>
      <x:c r="K3" s="16" t="str">
        <x:v>Horas propuestas, no tiempo real invertido</x:v>
      </x:c>
    </x:row>
    <x:row r="4" ht="86" customHeight="1">
      <x:c r="A4" s="13" t="str">
        <x:v>S1 propuesto</x:v>
      </x:c>
      <x:c r="B4" s="13" t="str">
        <x:v>HU-03</x:v>
      </x:c>
      <x:c r="C4" s="13" t="str">
        <x:v>Probar enrutamiento con cero y varios informes</x:v>
      </x:c>
      <x:c r="D4" s="13" t="str">
        <x:v>Sebastian Torres</x:v>
      </x:c>
      <x:c r="E4" s="14" t="n">
        <x:v>2</x:v>
      </x:c>
      <x:c r="F4" s="13" t="str">
        <x:v>Por planificar</x:v>
      </x:c>
      <x:c r="G4" s="13" t="str">
        <x:v>Usar fixtures sin acceso productivo.</x:v>
      </x:c>
      <x:c r="J4" s="16" t="str">
        <x:v>Fuente</x:v>
      </x:c>
      <x:c r="K4" s="16" t="str">
        <x:v>Product Backlog y revisión del flujo actual</x:v>
      </x:c>
    </x:row>
    <x:row r="5" ht="86" customHeight="1">
      <x:c r="A5" s="9" t="str">
        <x:v>S1 propuesto</x:v>
      </x:c>
      <x:c r="B5" s="9" t="str">
        <x:v>HU-04</x:v>
      </x:c>
      <x:c r="C5" s="9" t="str">
        <x:v>Rechazar fechas imposibles y periodos invertidos</x:v>
      </x:c>
      <x:c r="D5" s="9" t="str">
        <x:v>Ociel Escobar</x:v>
      </x:c>
      <x:c r="E5" s="15" t="n">
        <x:v>4</x:v>
      </x:c>
      <x:c r="F5" s="9" t="str">
        <x:v>Por planificar</x:v>
      </x:c>
      <x:c r="G5" s="9" t="str">
        <x:v>La normalización actual admite prefijos ISO sin validación de calendario.</x:v>
      </x:c>
      <x:c r="J5" s="16" t="str">
        <x:v>S1 horas</x:v>
      </x:c>
      <x:c r="K5" s="16" t="n">
        <x:f>SUMIF(A2:A23,"S1 propuesto",E2:E23)</x:f>
        <x:v>26</x:v>
      </x:c>
    </x:row>
    <x:row r="6" ht="86" customHeight="1">
      <x:c r="A6" s="13" t="str">
        <x:v>S1 propuesto</x:v>
      </x:c>
      <x:c r="B6" s="13" t="str">
        <x:v>HU-05</x:v>
      </x:c>
      <x:c r="C6" s="13" t="str">
        <x:v>Verificar numeración, corte y tipo del siguiente informe</x:v>
      </x:c>
      <x:c r="D6" s="13" t="str">
        <x:v>Ociel Escobar</x:v>
      </x:c>
      <x:c r="E6" s="14" t="n">
        <x:v>3</x:v>
      </x:c>
      <x:c r="F6" s="13" t="str">
        <x:v>Por planificar</x:v>
      </x:c>
      <x:c r="G6" s="13" t="str">
        <x:v>Comparar con casos de inicio y término en mes parcial.</x:v>
      </x:c>
      <x:c r="J6" s="16" t="str">
        <x:v>S2 horas</x:v>
      </x:c>
      <x:c r="K6" s="16" t="n">
        <x:f>SUMIF(A2:A23,"S2 propuesto",E2:E23)</x:f>
        <x:v>32</x:v>
      </x:c>
    </x:row>
    <x:row r="7" ht="86" customHeight="1">
      <x:c r="A7" s="9" t="str">
        <x:v>S1 propuesto</x:v>
      </x:c>
      <x:c r="B7" s="9" t="str">
        <x:v>HU-06</x:v>
      </x:c>
      <x:c r="C7" s="9" t="str">
        <x:v>Unificar días hábiles y validar calendario incompleto</x:v>
      </x:c>
      <x:c r="D7" s="9" t="str">
        <x:v>Ociel Escobar</x:v>
      </x:c>
      <x:c r="E7" s="15" t="n">
        <x:v>5</x:v>
      </x:c>
      <x:c r="F7" s="9" t="str">
        <x:v>Por planificar</x:v>
      </x:c>
      <x:c r="G7" s="9" t="str">
        <x:v>La rama alternativa suma 15 días corridos.</x:v>
      </x:c>
      <x:c r="J7" s="16" t="str">
        <x:v>S3 horas</x:v>
      </x:c>
      <x:c r="K7" s="16" t="n">
        <x:f>SUMIF(A2:A23,"S3 propuesto",E2:E23)</x:f>
        <x:v>22</x:v>
      </x:c>
    </x:row>
    <x:row r="8" ht="86" customHeight="1">
      <x:c r="A8" s="13" t="str">
        <x:v>S1 propuesto</x:v>
      </x:c>
      <x:c r="B8" s="13" t="str">
        <x:v>HU-07</x:v>
      </x:c>
      <x:c r="C8" s="13" t="str">
        <x:v>Acordar regla de plazo final y conservar procedencia</x:v>
      </x:c>
      <x:c r="D8" s="13" t="str">
        <x:v>Equipo</x:v>
      </x:c>
      <x:c r="E8" s="14" t="n">
        <x:v>3</x:v>
      </x:c>
      <x:c r="F8" s="13" t="str">
        <x:v>Por planificar</x:v>
      </x:c>
      <x:c r="G8" s="13" t="str">
        <x:v>Requiere validación de regla institucional.</x:v>
      </x:c>
      <x:c r="J8" s="16" t="str">
        <x:v>Total horas</x:v>
      </x:c>
      <x:c r="K8" s="16" t="n">
        <x:f>SUM(E2:E23)</x:f>
        <x:v>80</x:v>
      </x:c>
    </x:row>
    <x:row r="9" ht="86" customHeight="1">
      <x:c r="A9" s="9" t="str">
        <x:v>S1 propuesto</x:v>
      </x:c>
      <x:c r="B9" s="9" t="str">
        <x:v>HU-08</x:v>
      </x:c>
      <x:c r="C9" s="9" t="str">
        <x:v>Ejecutar pruebas locales de validación de propuestas</x:v>
      </x:c>
      <x:c r="D9" s="9" t="str">
        <x:v>Sebastian Torres</x:v>
      </x:c>
      <x:c r="E9" s="15" t="n">
        <x:v>3</x:v>
      </x:c>
      <x:c r="F9" s="9" t="str">
        <x:v>Por planificar</x:v>
      </x:c>
      <x:c r="G9" s="9" t="str">
        <x:v>Guardar evidencia reproducible.</x:v>
      </x:c>
      <x:c r="J9" s="16" t="str">
        <x:v>Tareas terminadas</x:v>
      </x:c>
      <x:c r="K9" s="16" t="n">
        <x:f>COUNTIF(F2:F23,"Terminada")</x:f>
        <x:v>0</x:v>
      </x:c>
    </x:row>
    <x:row r="10" ht="86" customHeight="1">
      <x:c r="A10" s="13" t="str">
        <x:v>S2 propuesto</x:v>
      </x:c>
      <x:c r="B10" s="13" t="str">
        <x:v>HU-09</x:v>
      </x:c>
      <x:c r="C10" s="13" t="str">
        <x:v>Centralizar simulación y eliminar sobrescrituras de indicadores</x:v>
      </x:c>
      <x:c r="D10" s="13" t="str">
        <x:v>Ociel Escobar</x:v>
      </x:c>
      <x:c r="E10" s="14" t="n">
        <x:v>5</x:v>
      </x:c>
      <x:c r="F10" s="13" t="str">
        <x:v>Por planificar</x:v>
      </x:c>
      <x:c r="G10" s="13" t="str">
        <x:v>No activar SQL real para esta tarea.</x:v>
      </x:c>
    </x:row>
    <x:row r="11" ht="86" customHeight="1">
      <x:c r="A11" s="9" t="str">
        <x:v>S2 propuesto</x:v>
      </x:c>
      <x:c r="B11" s="9" t="str">
        <x:v>HU-10</x:v>
      </x:c>
      <x:c r="C11" s="9" t="str">
        <x:v>Definir protección de unicidad y concurrencia en SQL</x:v>
      </x:c>
      <x:c r="D11" s="9" t="str">
        <x:v>Ociel Escobar</x:v>
      </x:c>
      <x:c r="E11" s="15" t="n">
        <x:v>5</x:v>
      </x:c>
      <x:c r="F11" s="9" t="str">
        <x:v>Por planificar</x:v>
      </x:c>
      <x:c r="G11" s="9" t="str">
        <x:v>Verificar DDL y permisos con administrador.</x:v>
      </x:c>
    </x:row>
    <x:row r="12" ht="86" customHeight="1">
      <x:c r="A12" s="13" t="str">
        <x:v>S2 propuesto</x:v>
      </x:c>
      <x:c r="B12" s="13" t="str">
        <x:v>HU-11</x:v>
      </x:c>
      <x:c r="C12" s="13" t="str">
        <x:v>Preparar integración de inserción en ambiente autorizado</x:v>
      </x:c>
      <x:c r="D12" s="13" t="str">
        <x:v>Ociel Escobar</x:v>
      </x:c>
      <x:c r="E12" s="14" t="n">
        <x:v>4</x:v>
      </x:c>
      <x:c r="F12" s="13" t="str">
        <x:v>Por planificar</x:v>
      </x:c>
      <x:c r="G12" s="13" t="str">
        <x:v>INS está comentado; no afirmar persistencia.</x:v>
      </x:c>
    </x:row>
    <x:row r="13" ht="86" customHeight="1">
      <x:c r="A13" s="9" t="str">
        <x:v>S2 propuesto</x:v>
      </x:c>
      <x:c r="B13" s="9" t="str">
        <x:v>HU-12</x:v>
      </x:c>
      <x:c r="C13" s="9" t="str">
        <x:v>Ajustar correcciones finales y verificar estado pendiente</x:v>
      </x:c>
      <x:c r="D13" s="9" t="str">
        <x:v>Ociel Escobar</x:v>
      </x:c>
      <x:c r="E13" s="15" t="n">
        <x:v>4</x:v>
      </x:c>
      <x:c r="F13" s="9" t="str">
        <x:v>Por planificar</x:v>
      </x:c>
      <x:c r="G13" s="9" t="str">
        <x:v>No extender corte más allá del término.</x:v>
      </x:c>
    </x:row>
    <x:row r="14" ht="86" customHeight="1">
      <x:c r="A14" s="13" t="str">
        <x:v>S2 propuesto</x:v>
      </x:c>
      <x:c r="B14" s="13" t="str">
        <x:v>HU-12</x:v>
      </x:c>
      <x:c r="C14" s="13" t="str">
        <x:v>Preparar prueba de actualización y reversión</x:v>
      </x:c>
      <x:c r="D14" s="13" t="str">
        <x:v>Sebastian Torres</x:v>
      </x:c>
      <x:c r="E14" s="14" t="n">
        <x:v>3</x:v>
      </x:c>
      <x:c r="F14" s="13" t="str">
        <x:v>Por planificar</x:v>
      </x:c>
      <x:c r="G14" s="13" t="str">
        <x:v>UPD está comentado; requiere entorno de prueba.</x:v>
      </x:c>
    </x:row>
    <x:row r="15" ht="86" customHeight="1">
      <x:c r="A15" s="9" t="str">
        <x:v>S2 propuesto</x:v>
      </x:c>
      <x:c r="B15" s="9" t="str">
        <x:v>HU-13</x:v>
      </x:c>
      <x:c r="C15" s="9" t="str">
        <x:v>Corregir avance de mes y tratamiento de término ausente</x:v>
      </x:c>
      <x:c r="D15" s="9" t="str">
        <x:v>Ociel Escobar</x:v>
      </x:c>
      <x:c r="E15" s="15" t="n">
        <x:v>4</x:v>
      </x:c>
      <x:c r="F15" s="9" t="str">
        <x:v>Por planificar</x:v>
      </x:c>
      <x:c r="G15" s="9" t="str">
        <x:v>Caso 31 de enero y fecha de término nula.</x:v>
      </x:c>
    </x:row>
    <x:row r="16" ht="86" customHeight="1">
      <x:c r="A16" s="13" t="str">
        <x:v>S2 propuesto</x:v>
      </x:c>
      <x:c r="B16" s="13" t="str">
        <x:v>HU-16</x:v>
      </x:c>
      <x:c r="C16" s="13" t="str">
        <x:v>Retornar resultado por proyecto sin correcciones</x:v>
      </x:c>
      <x:c r="D16" s="13" t="str">
        <x:v>Sebastian Torres</x:v>
      </x:c>
      <x:c r="E16" s="14" t="n">
        <x:v>4</x:v>
      </x:c>
      <x:c r="F16" s="13" t="str">
        <x:v>Por planificar</x:v>
      </x:c>
      <x:c r="G16" s="13" t="str">
        <x:v>Evitar que Filter sin salida corte la iteración.</x:v>
      </x:c>
    </x:row>
    <x:row r="17" ht="86" customHeight="1">
      <x:c r="A17" s="9" t="str">
        <x:v>S2 propuesto</x:v>
      </x:c>
      <x:c r="B17" s="9" t="str">
        <x:v>HU-16</x:v>
      </x:c>
      <x:c r="C17" s="9" t="str">
        <x:v>Definir tratamiento de cero proyectos y fallos SQL</x:v>
      </x:c>
      <x:c r="D17" s="9" t="str">
        <x:v>Sebastian Torres</x:v>
      </x:c>
      <x:c r="E17" s="15" t="n">
        <x:v>3</x:v>
      </x:c>
      <x:c r="F17" s="9" t="str">
        <x:v>Por planificar</x:v>
      </x:c>
      <x:c r="G17" s="9" t="str">
        <x:v>Incluir resumen y error por proyecto.</x:v>
      </x:c>
    </x:row>
    <x:row r="18" ht="86" customHeight="1">
      <x:c r="A18" s="13" t="str">
        <x:v>S3 propuesto</x:v>
      </x:c>
      <x:c r="B18" s="13" t="str">
        <x:v>HU-14</x:v>
      </x:c>
      <x:c r="C18" s="13" t="str">
        <x:v>Revisar destinatarios, escape HTML y fallos del correo</x:v>
      </x:c>
      <x:c r="D18" s="13" t="str">
        <x:v>Sebastian Torres</x:v>
      </x:c>
      <x:c r="E18" s="14" t="n">
        <x:v>3</x:v>
      </x:c>
      <x:c r="F18" s="13" t="str">
        <x:v>Por planificar</x:v>
      </x:c>
      <x:c r="G18" s="13" t="str">
        <x:v>No enviar correos reales en la revisión documental.</x:v>
      </x:c>
    </x:row>
    <x:row r="19" ht="86" customHeight="1">
      <x:c r="A19" s="9" t="str">
        <x:v>S3 propuesto</x:v>
      </x:c>
      <x:c r="B19" s="9" t="str">
        <x:v>HU-15</x:v>
      </x:c>
      <x:c r="C19" s="9" t="str">
        <x:v>Conciliar contadores con resultados por proyecto</x:v>
      </x:c>
      <x:c r="D19" s="9" t="str">
        <x:v>Sebastian Torres</x:v>
      </x:c>
      <x:c r="E19" s="15" t="n">
        <x:v>4</x:v>
      </x:c>
      <x:c r="F19" s="9" t="str">
        <x:v>Por planificar</x:v>
      </x:c>
      <x:c r="G19" s="9" t="str">
        <x:v>Separar propuestas, simulados y escrituras verificadas.</x:v>
      </x:c>
    </x:row>
    <x:row r="20" ht="86" customHeight="1">
      <x:c r="A20" s="13" t="str">
        <x:v>S3 propuesto</x:v>
      </x:c>
      <x:c r="B20" s="13" t="str">
        <x:v>HU-15</x:v>
      </x:c>
      <x:c r="C20" s="13" t="str">
        <x:v>Evaluar aislamiento de staticData entre ejecuciones</x:v>
      </x:c>
      <x:c r="D20" s="13" t="str">
        <x:v>Ociel Escobar</x:v>
      </x:c>
      <x:c r="E20" s="14" t="n">
        <x:v>3</x:v>
      </x:c>
      <x:c r="F20" s="13" t="str">
        <x:v>Por planificar</x:v>
      </x:c>
      <x:c r="G20" s="13" t="str">
        <x:v>Evitar interferencia de ejecuciones simultáneas.</x:v>
      </x:c>
    </x:row>
    <x:row r="21" ht="86" customHeight="1">
      <x:c r="A21" s="9" t="str">
        <x:v>S3 propuesto</x:v>
      </x:c>
      <x:c r="B21" s="9" t="str">
        <x:v>HU-17</x:v>
      </x:c>
      <x:c r="C21" s="9" t="str">
        <x:v>Ejecutar matriz de integración en ambiente autorizado</x:v>
      </x:c>
      <x:c r="D21" s="9" t="str">
        <x:v>Equipo</x:v>
      </x:c>
      <x:c r="E21" s="15" t="n">
        <x:v>6</x:v>
      </x:c>
      <x:c r="F21" s="9" t="str">
        <x:v>Por planificar</x:v>
      </x:c>
      <x:c r="G21" s="9" t="str">
        <x:v>Pendiente de acceso y datos de prueba.</x:v>
      </x:c>
    </x:row>
    <x:row r="22" ht="86" customHeight="1">
      <x:c r="A22" s="13" t="str">
        <x:v>S3 propuesto</x:v>
      </x:c>
      <x:c r="B22" s="13" t="str">
        <x:v>HU-18</x:v>
      </x:c>
      <x:c r="C22" s="13" t="str">
        <x:v>Revisar UML y diccionario contra esquema SQL real</x:v>
      </x:c>
      <x:c r="D22" s="13" t="str">
        <x:v>Ociel Escobar</x:v>
      </x:c>
      <x:c r="E22" s="14" t="n">
        <x:v>3</x:v>
      </x:c>
      <x:c r="F22" s="13" t="str">
        <x:v>Por planificar</x:v>
      </x:c>
      <x:c r="G22" s="13" t="str">
        <x:v>Relaciones inferidas no equivalen a FK confirmadas.</x:v>
      </x:c>
    </x:row>
    <x:row r="23" ht="86" customHeight="1">
      <x:c r="A23" s="9" t="str">
        <x:v>S3 propuesto</x:v>
      </x:c>
      <x:c r="B23" s="9" t="str">
        <x:v>HU-18</x:v>
      </x:c>
      <x:c r="C23" s="9" t="str">
        <x:v>Revisar evidencias y acordar retrospectiva conjunta</x:v>
      </x:c>
      <x:c r="D23" s="9" t="str">
        <x:v>Sebastian Torres</x:v>
      </x:c>
      <x:c r="E23" s="15" t="n">
        <x:v>3</x:v>
      </x:c>
      <x:c r="F23" s="9" t="str">
        <x:v>Por planificar</x:v>
      </x:c>
      <x:c r="G23" s="9" t="str">
        <x:v>Fechas y acuerdos se confirman con ambos integrantes.</x:v>
      </x:c>
    </x:row>
  </x:sheetData>
  <x:conditionalFormatting sqref="F2:F23">
    <x:cfRule type="containsText" dxfId="0" priority="1" operator="containsText" text="Fallida local"/>
    <x:cfRule type="containsText" dxfId="1" priority="2" operator="containsText" text="Fallida integrada"/>
    <x:cfRule type="containsText" dxfId="2" priority="3" operator="containsText" text="Bloqueada"/>
    <x:cfRule type="containsText" dxfId="3" priority="4" operator="containsText" text="Parcial"/>
  </x:conditionalFormatting>
  <x:dataValidations count="1">
    <x:dataValidation type="list" sqref="F2:F23">
      <x:formula1>"Por planificar,En curso,Bloqueada,Terminada"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39091677b247f9"/>
  </x:tableParts>
</x:worksheet>
</file>