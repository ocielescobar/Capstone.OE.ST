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b45e194f724c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tilla" sheetId="1" r:id="R4130f3da721640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sz val="10"/>
      <x:color rgb="FF172B3A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23448"/>
      </x:patternFill>
    </x:fill>
    <x:fill>
      <x:patternFill patternType="solid">
        <x:fgColor rgb="FF243746"/>
      </x:patternFill>
    </x:fill>
    <x:fill>
      <x:patternFill patternType="solid">
        <x:fgColor rgb="FFF1F5F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200" fontId="3" fillId="4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wrapText="0"/>
    </x:xf>
  </x:cellXfs>
  <x:cellStyles count="1">
    <x:cellStyle name="Normal" xfId="0"/>
  </x:cellStyles>
  <x:dxfs count="4">
    <x:dxf>
      <x:font>
        <x:b/>
        <x:color rgb="FF9D1C20"/>
      </x:font>
      <x:fill>
        <x:patternFill patternType="solid">
          <x:bgColor rgb="FFFDE9E7"/>
        </x:patternFill>
      </x:fill>
    </x:dxf>
    <x:dxf>
      <x:font>
        <x:b/>
        <x:color rgb="FF9D1C20"/>
      </x:font>
      <x:fill>
        <x:patternFill patternType="solid">
          <x:bgColor rgb="FFFDE9E7"/>
        </x:patternFill>
      </x:fill>
    </x:dxf>
    <x:dxf>
      <x:font>
        <x:b/>
        <x:color rgb="FF9D1C20"/>
      </x:font>
      <x:fill>
        <x:patternFill patternType="solid">
          <x:bgColor rgb="FFFDE9E7"/>
        </x:patternFill>
      </x:fill>
    </x:dxf>
    <x:dxf>
      <x:font>
        <x:color rgb="FF7A4B00"/>
      </x:font>
      <x:fill>
        <x:patternFill patternType="solid">
          <x:bgColor rgb="FFFFF2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11dca1ce34475d" /><Relationship Type="http://schemas.openxmlformats.org/officeDocument/2006/relationships/theme" Target="/xl/theme/theme1.xml" Id="R2d3699dc6a974b5d" /><Relationship Type="http://schemas.openxmlformats.org/officeDocument/2006/relationships/sharedStrings" Target="/xl/sharedStrings.xml" Id="Rcb7a77784da3430a" /><Relationship Type="http://schemas.openxmlformats.org/officeDocument/2006/relationships/worksheet" Target="/xl/worksheets/sheet1.xml" Id="R4130f3da721640d7" /></Relationships>
</file>

<file path=xl/tables/table1.xml><?xml version="1.0" encoding="utf-8"?>
<x:table xmlns:x="http://schemas.openxmlformats.org/spreadsheetml/2006/main" id="1" name="ProductBacklog" displayName="ProductBacklog" ref="A1:H19" headerRowCount="1" totalsRowCount="0" totalsRowShown="0">
  <x:tableColumns count="8">
    <x:tableColumn id="1" name="ID"/>
    <x:tableColumn id="2" name="Historia / requisito"/>
    <x:tableColumn id="3" name="Prioridad"/>
    <x:tableColumn id="4" name="Valor de negocio 1 a 5"/>
    <x:tableColumn id="5" name="Criterios de aceptación"/>
    <x:tableColumn id="6" name="Responsable propuesto"/>
    <x:tableColumn id="7" name="Estado observado"/>
    <x:tableColumn id="8" name="Nodo de referenci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6c3c337b076405c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0.630000114440918" hidden="0" customWidth="1"/>
    <x:col min="2" max="2" width="48.75" hidden="0" customWidth="1"/>
    <x:col min="3" max="3" width="10.630000114440918" hidden="0" customWidth="1"/>
    <x:col min="4" max="4" width="13.130000114440918" hidden="0" customWidth="1"/>
    <x:col min="5" max="5" width="57.5" hidden="0" customWidth="1"/>
    <x:col min="6" max="6" width="18.75" hidden="0" customWidth="1"/>
    <x:col min="7" max="7" width="22.5" hidden="0" customWidth="1"/>
    <x:col min="8" max="8" width="32.5" hidden="0" customWidth="1"/>
    <x:col min="11" max="11" width="23.75" hidden="0" customWidth="1"/>
    <x:col min="12" max="12" width="67.5" hidden="0" customWidth="1"/>
  </x:cols>
  <x:sheetData>
    <x:row r="1" ht="36" customHeight="1">
      <x:c r="A1" s="12" t="str">
        <x:v>ID</x:v>
      </x:c>
      <x:c r="B1" s="12" t="str">
        <x:v>Historia / requisito</x:v>
      </x:c>
      <x:c r="C1" s="12" t="str">
        <x:v>Prioridad</x:v>
      </x:c>
      <x:c r="D1" s="12" t="str">
        <x:v>Valor de negocio 1 a 5</x:v>
      </x:c>
      <x:c r="E1" s="12" t="str">
        <x:v>Criterios de aceptación</x:v>
      </x:c>
      <x:c r="F1" s="12" t="str">
        <x:v>Responsable propuesto</x:v>
      </x:c>
      <x:c r="G1" s="12" t="str">
        <x:v>Estado observado</x:v>
      </x:c>
      <x:c r="H1" s="12" t="str">
        <x:v>Nodo de referencia</x:v>
      </x:c>
      <x:c r="K1" s="16" t="str">
        <x:v>Proyecto</x:v>
      </x:c>
      <x:c r="L1" s="16" t="str">
        <x:v>Automatización PID R2 · Capstone DUOC</x:v>
      </x:c>
    </x:row>
    <x:row r="2" ht="86" customHeight="1">
      <x:c r="A2" s="13" t="str">
        <x:v>HU-01</x:v>
      </x:c>
      <x:c r="B2" s="13" t="str">
        <x:v>Como analista quiero seleccionar proyectos R2 elegibles para procesar únicamente la versión vigente aplicable.</x:v>
      </x:c>
      <x:c r="C2" s="13" t="str">
        <x:v>Alta</x:v>
      </x:c>
      <x:c r="D2" s="14" t="n">
        <x:v>5</x:v>
      </x:c>
      <x:c r="E2" s="13" t="str">
        <x:v>Estados 10 a 13; categorías 1 y 4; afecto R2; situación 27 abierta o ausente; sin informes o solo pendientes.</x:v>
      </x:c>
      <x:c r="F2" s="13" t="str">
        <x:v>Ociel Escobar</x:v>
      </x:c>
      <x:c r="G2" s="13" t="str">
        <x:v>Implementado sin validar</x:v>
      </x:c>
      <x:c r="H2" s="13" t="str">
        <x:v>Consultar adjudicados R2 pendientes</x:v>
      </x:c>
      <x:c r="K2" s="16" t="str">
        <x:v>Integrantes</x:v>
      </x:c>
      <x:c r="L2" s="16" t="str">
        <x:v>Ociel Escobar y Sebastian Torres</x:v>
      </x:c>
    </x:row>
    <x:row r="3" ht="86" customHeight="1">
      <x:c r="A3" s="9" t="str">
        <x:v>HU-02</x:v>
      </x:c>
      <x:c r="B3" s="9" t="str">
        <x:v>Como operador quiero programar la ejecución diaria para evitar iniciar manualmente el lote.</x:v>
      </x:c>
      <x:c r="C3" s="9" t="str">
        <x:v>Media</x:v>
      </x:c>
      <x:c r="D3" s="15" t="n">
        <x:v>3</x:v>
      </x:c>
      <x:c r="E3" s="9" t="str">
        <x:v>Disparador a las 07:00; zona horaria explícita y ejecución de prueba registrada.</x:v>
      </x:c>
      <x:c r="F3" s="9" t="str">
        <x:v>Sebastian Torres</x:v>
      </x:c>
      <x:c r="G3" s="9" t="str">
        <x:v>Parcial</x:v>
      </x:c>
      <x:c r="H3" s="9" t="str">
        <x:v>Cada mañana a las 7 AM</x:v>
      </x:c>
      <x:c r="K3" s="16" t="str">
        <x:v>Fuente</x:v>
      </x:c>
      <x:c r="L3" s="16" t="str">
        <x:v>Flujo de 39 nodos recibido el 21-10-2026</x:v>
      </x:c>
    </x:row>
    <x:row r="4" ht="86" customHeight="1">
      <x:c r="A4" s="13" t="str">
        <x:v>HU-03</x:v>
      </x:c>
      <x:c r="B4" s="13" t="str">
        <x:v>Como analista quiero distinguir proyectos con y sin informes para aplicar la ruta correspondiente.</x:v>
      </x:c>
      <x:c r="C4" s="13" t="str">
        <x:v>Alta</x:v>
      </x:c>
      <x:c r="D4" s="14" t="n">
        <x:v>5</x:v>
      </x:c>
      <x:c r="E4" s="13" t="str">
        <x:v>Cero informes produce CREAR_PLAN; uno o más produce CONFIGURAR_PLAN_EXISTENTE.</x:v>
      </x:c>
      <x:c r="F4" s="13" t="str">
        <x:v>Ociel Escobar</x:v>
      </x:c>
      <x:c r="G4" s="13" t="str">
        <x:v>Implementado sin validar</x:v>
      </x:c>
      <x:c r="H4" s="13" t="str">
        <x:v>Enrutar acción PID</x:v>
      </x:c>
      <x:c r="K4" s="16" t="str">
        <x:v>Estado</x:v>
      </x:c>
      <x:c r="L4" s="16" t="str">
        <x:v>Revisión del código; no aceptación en n8n/SQL</x:v>
      </x:c>
    </x:row>
    <x:row r="5" ht="86" customHeight="1">
      <x:c r="A5" s="9" t="str">
        <x:v>HU-04</x:v>
      </x:c>
      <x:c r="B5" s="9" t="str">
        <x:v>Como analista quiero obtener y normalizar las fechas oficiales para proponer periodos consistentes.</x:v>
      </x:c>
      <x:c r="C5" s="9" t="str">
        <x:v>Alta</x:v>
      </x:c>
      <x:c r="D5" s="15" t="n">
        <x:v>5</x:v>
      </x:c>
      <x:c r="E5" s="9" t="str">
        <x:v>Priorizar fechas oficiales de versión y proyecto; rechazar fechas ausentes, imposibles o inicio posterior al término.</x:v>
      </x:c>
      <x:c r="F5" s="9" t="str">
        <x:v>Ociel Escobar</x:v>
      </x:c>
      <x:c r="G5" s="9" t="str">
        <x:v>Parcial</x:v>
      </x:c>
      <x:c r="H5" s="9" t="str">
        <x:v>Obtener fechas base del proyecto; Normalizar fechas de vigencia</x:v>
      </x:c>
      <x:c r="K5" s="16" t="str">
        <x:v>Prioridad y valor</x:v>
      </x:c>
      <x:c r="L5" s="16" t="str">
        <x:v>Propuestos para revisión del equipo</x:v>
      </x:c>
    </x:row>
    <x:row r="6" ht="86" customHeight="1">
      <x:c r="A6" s="13" t="str">
        <x:v>HU-05</x:v>
      </x:c>
      <x:c r="B6" s="13" t="str">
        <x:v>Como analista quiero proponer el siguiente informe mensual para cubrir la vigencia del proyecto.</x:v>
      </x:c>
      <x:c r="C6" s="13" t="str">
        <x:v>Alta</x:v>
      </x:c>
      <x:c r="D6" s="14" t="n">
        <x:v>5</x:v>
      </x:c>
      <x:c r="E6" s="13" t="str">
        <x:v>Número MAX+1; corte mensual acotado al término; avance tipo 2 o final tipo 4.</x:v>
      </x:c>
      <x:c r="F6" s="13" t="str">
        <x:v>Ociel Escobar</x:v>
      </x:c>
      <x:c r="G6" s="13" t="str">
        <x:v>Implementado sin validar</x:v>
      </x:c>
      <x:c r="H6" s="13" t="str">
        <x:v>Generar propuesta mensual</x:v>
      </x:c>
      <x:c r="K6" s="16" t="str">
        <x:v>Responsables</x:v>
      </x:c>
      <x:c r="L6" s="16" t="str">
        <x:v>Distribución propuesta; confirmar en reunión</x:v>
      </x:c>
    </x:row>
    <x:row r="7" ht="86" customHeight="1">
      <x:c r="A7" s="9" t="str">
        <x:v>HU-06</x:v>
      </x:c>
      <x:c r="B7" s="9" t="str">
        <x:v>Como analista quiero calcular entregas con calendario institucional para respetar días hábiles.</x:v>
      </x:c>
      <x:c r="C7" s="9" t="str">
        <x:v>Alta</x:v>
      </x:c>
      <x:c r="D7" s="15" t="n">
        <x:v>5</x:v>
      </x:c>
      <x:c r="E7" s="9" t="str">
        <x:v>Usar exactamente 15 fechas hábiles posteriores al corte; bloquear si faltan días; aplicar regla uniforme entre ramas.</x:v>
      </x:c>
      <x:c r="F7" s="9" t="str">
        <x:v>Ociel Escobar</x:v>
      </x:c>
      <x:c r="G7" s="9" t="str">
        <x:v>Parcial</x:v>
      </x:c>
      <x:c r="H7" s="9" t="str">
        <x:v>Generar propuesta mensual; Calcular siguiente informe mensual</x:v>
      </x:c>
      <x:c r="K7" s="16" t="str">
        <x:v>Historias</x:v>
      </x:c>
      <x:c r="L7" s="16" t="n">
        <x:f>COUNTA(A2:A19)</x:f>
        <x:v>18</x:v>
      </x:c>
    </x:row>
    <x:row r="8" ht="86" customHeight="1">
      <x:c r="A8" s="13" t="str">
        <x:v>HU-07</x:v>
      </x:c>
      <x:c r="B8" s="13" t="str">
        <x:v>Como analista quiero validar la entrega del informe final para no atribuirle un plazo incorrecto.</x:v>
      </x:c>
      <x:c r="C8" s="13" t="str">
        <x:v>Alta</x:v>
      </x:c>
      <x:c r="D8" s="14" t="n">
        <x:v>5</x:v>
      </x:c>
      <x:c r="E8" s="13" t="str">
        <x:v>Distinguir fecha final institucional de fecha calculada; conservar origen y bloquear si falta regla aprobada.</x:v>
      </x:c>
      <x:c r="F8" s="13" t="str">
        <x:v>Ociel Escobar</x:v>
      </x:c>
      <x:c r="G8" s="13" t="str">
        <x:v>Parcial</x:v>
      </x:c>
      <x:c r="H8" s="13" t="str">
        <x:v>Calcular entregas mensuales provisionales</x:v>
      </x:c>
      <x:c r="K8" s="16" t="str">
        <x:v>Parciales</x:v>
      </x:c>
      <x:c r="L8" s="16" t="n">
        <x:f>COUNTIF(G2:G19,"Parcial")</x:f>
        <x:v>8</x:v>
      </x:c>
    </x:row>
    <x:row r="9" ht="86" customHeight="1">
      <x:c r="A9" s="9" t="str">
        <x:v>HU-08</x:v>
      </x:c>
      <x:c r="B9" s="9" t="str">
        <x:v>Como operador quiero validar la propuesta antes de ejecutarla para detener datos incompletos.</x:v>
      </x:c>
      <x:c r="C9" s="9" t="str">
        <x:v>Alta</x:v>
      </x:c>
      <x:c r="D9" s="15" t="n">
        <x:v>5</x:v>
      </x:c>
      <x:c r="E9" s="9" t="str">
        <x:v>Validar proyecto, versión, número, inicio, corte y entrega; registrar los motivos de rechazo.</x:v>
      </x:c>
      <x:c r="F9" s="9" t="str">
        <x:v>Sebastian Torres</x:v>
      </x:c>
      <x:c r="G9" s="9" t="str">
        <x:v>Implementado sin validar</x:v>
      </x:c>
      <x:c r="H9" s="9" t="str">
        <x:v>Validar propuesta de plan</x:v>
      </x:c>
      <x:c r="K9" s="16" t="str">
        <x:v>Simuladas</x:v>
      </x:c>
      <x:c r="L9" s="16" t="n">
        <x:f>COUNTIF(G2:G19,"Simulado")</x:f>
        <x:v>2</x:v>
      </x:c>
    </x:row>
    <x:row r="10" ht="86" customHeight="1">
      <x:c r="A10" s="13" t="str">
        <x:v>HU-09</x:v>
      </x:c>
      <x:c r="B10" s="13" t="str">
        <x:v>Como operador quiero simular de forma centralizada para evitar escrituras durante las demostraciones.</x:v>
      </x:c>
      <x:c r="C10" s="13" t="str">
        <x:v>Alta</x:v>
      </x:c>
      <x:c r="D10" s="14" t="n">
        <x:v>5</x:v>
      </x:c>
      <x:c r="E10" s="13" t="str">
        <x:v>Un solo control gobierna todas las ramas; ninguna función puede reactivar cambios; cero escrituras en simulación.</x:v>
      </x:c>
      <x:c r="F10" s="13" t="str">
        <x:v>Ociel Escobar</x:v>
      </x:c>
      <x:c r="G10" s="13" t="str">
        <x:v>Parcial</x:v>
      </x:c>
      <x:c r="H10" s="13" t="str">
        <x:v>Configurar entorno de simulación; Validar propuesta de plan</x:v>
      </x:c>
    </x:row>
    <x:row r="11" ht="86" customHeight="1">
      <x:c r="A11" s="9" t="str">
        <x:v>HU-10</x:v>
      </x:c>
      <x:c r="B11" s="9" t="str">
        <x:v>Como analista quiero detectar colisiones para evitar duplicar informes del mismo proyecto y versión.</x:v>
      </x:c>
      <x:c r="C11" s="9" t="str">
        <x:v>Alta</x:v>
      </x:c>
      <x:c r="D11" s="15" t="n">
        <x:v>5</x:v>
      </x:c>
      <x:c r="E11" s="9" t="str">
        <x:v>Rechazar número ocupado y duplicado concurrente; comprobar unicidad en la base de datos.</x:v>
      </x:c>
      <x:c r="F11" s="9" t="str">
        <x:v>Ociel Escobar</x:v>
      </x:c>
      <x:c r="G11" s="9" t="str">
        <x:v>Parcial</x:v>
      </x:c>
      <x:c r="H11" s="9" t="str">
        <x:v>Validar colisiones antes de crear PID</x:v>
      </x:c>
    </x:row>
    <x:row r="12" ht="86" customHeight="1">
      <x:c r="A12" s="13" t="str">
        <x:v>HU-11</x:v>
      </x:c>
      <x:c r="B12" s="13" t="str">
        <x:v>Como analista quiero registrar el informe validado para disponer de su planificación.</x:v>
      </x:c>
      <x:c r="C12" s="13" t="str">
        <x:v>Alta</x:v>
      </x:c>
      <x:c r="D12" s="14" t="n">
        <x:v>5</x:v>
      </x:c>
      <x:c r="E12" s="13" t="str">
        <x:v>INS_PROYECTO_INFORME ejecutado en entorno autorizado; verificar registro posterior; distinguir simulación de persistencia.</x:v>
      </x:c>
      <x:c r="F12" s="13" t="str">
        <x:v>Ociel Escobar</x:v>
      </x:c>
      <x:c r="G12" s="13" t="str">
        <x:v>Simulado</x:v>
      </x:c>
      <x:c r="H12" s="13" t="str">
        <x:v>Crear PID en Base de Datos</x:v>
      </x:c>
    </x:row>
    <x:row r="13" ht="86" customHeight="1">
      <x:c r="A13" s="9" t="str">
        <x:v>HU-12</x:v>
      </x:c>
      <x:c r="B13" s="9" t="str">
        <x:v>Como analista quiero corregir cortes pendientes sin alterar informes tramitados.</x:v>
      </x:c>
      <x:c r="C13" s="9" t="str">
        <x:v>Alta</x:v>
      </x:c>
      <x:c r="D13" s="15" t="n">
        <x:v>5</x:v>
      </x:c>
      <x:c r="E13" s="9" t="str">
        <x:v>Solo pendientes; respetar término real y tipo final; UPD autorizado y verificación posterior.</x:v>
      </x:c>
      <x:c r="F13" s="9" t="str">
        <x:v>Ociel Escobar</x:v>
      </x:c>
      <x:c r="G13" s="9" t="str">
        <x:v>Simulado</x:v>
      </x:c>
      <x:c r="H13" s="9" t="str">
        <x:v>Preparar correcciones mensuales; Aplicar corrección mensual PID</x:v>
      </x:c>
    </x:row>
    <x:row r="14" ht="86" customHeight="1">
      <x:c r="A14" s="13" t="str">
        <x:v>HU-13</x:v>
      </x:c>
      <x:c r="B14" s="13" t="str">
        <x:v>Como analista quiero continuar un plan hasta su término para identificar si está completo.</x:v>
      </x:c>
      <x:c r="C14" s="13" t="str">
        <x:v>Media</x:v>
      </x:c>
      <x:c r="D14" s="14" t="n">
        <x:v>3</x:v>
      </x:c>
      <x:c r="E14" s="13" t="str">
        <x:v>Avanzar al fin del mes siguiente sin saltos; acotar al término; ausencia de término debe bloquear y no completar.</x:v>
      </x:c>
      <x:c r="F14" s="13" t="str">
        <x:v>Ociel Escobar</x:v>
      </x:c>
      <x:c r="G14" s="13" t="str">
        <x:v>Parcial</x:v>
      </x:c>
      <x:c r="H14" s="13" t="str">
        <x:v>Calcular siguiente informe mensual</x:v>
      </x:c>
    </x:row>
    <x:row r="15" ht="86" customHeight="1">
      <x:c r="A15" s="9" t="str">
        <x:v>HU-14</x:v>
      </x:c>
      <x:c r="B15" s="9" t="str">
        <x:v>Como analista quiero recibir alertas con causas para corregir datos antes de reintentar.</x:v>
      </x:c>
      <x:c r="C15" s="9" t="str">
        <x:v>Alta</x:v>
      </x:c>
      <x:c r="D15" s="15" t="n">
        <x:v>5</x:v>
      </x:c>
      <x:c r="E15" s="9" t="str">
        <x:v>Correo con proyecto, versión y bloqueos; destinatario de prueba identificado; validar entrega.</x:v>
      </x:c>
      <x:c r="F15" s="9" t="str">
        <x:v>Sebastian Torres</x:v>
      </x:c>
      <x:c r="G15" s="9" t="str">
        <x:v>Implementado sin validar</x:v>
      </x:c>
      <x:c r="H15" s="9" t="str">
        <x:v>Preparar alerta PID incompleto</x:v>
      </x:c>
    </x:row>
    <x:row r="16" ht="86" customHeight="1">
      <x:c r="A16" s="13" t="str">
        <x:v>HU-15</x:v>
      </x:c>
      <x:c r="B16" s="13" t="str">
        <x:v>Como operador quiero un resumen conciliado para conocer el resultado real del lote.</x:v>
      </x:c>
      <x:c r="C16" s="13" t="str">
        <x:v>Alta</x:v>
      </x:c>
      <x:c r="D16" s="14" t="n">
        <x:v>5</x:v>
      </x:c>
      <x:c r="E16" s="13" t="str">
        <x:v>Un resultado por proyecto, incluso sin cambios; separar simulados y persistidos; total igual a proyectos seleccionados.</x:v>
      </x:c>
      <x:c r="F16" s="13" t="str">
        <x:v>Sebastian Torres</x:v>
      </x:c>
      <x:c r="G16" s="13" t="str">
        <x:v>Parcial</x:v>
      </x:c>
      <x:c r="H16" s="13" t="str">
        <x:v>Consolidar métricas del proceso; Sumar corregido</x:v>
      </x:c>
    </x:row>
    <x:row r="17" ht="86" customHeight="1">
      <x:c r="A17" s="9" t="str">
        <x:v>HU-16</x:v>
      </x:c>
      <x:c r="B17" s="9" t="str">
        <x:v>Como mantenedor quiero un cierre por proyecto y manejo de fallos para completar el lote.</x:v>
      </x:c>
      <x:c r="C17" s="9" t="str">
        <x:v>Alta</x:v>
      </x:c>
      <x:c r="D17" s="15" t="n">
        <x:v>5</x:v>
      </x:c>
      <x:c r="E17" s="9" t="str">
        <x:v>Filtros vacíos y fallos retornan al bucle; resumen vacío si no hay proyectos; no duplicar por reintento.</x:v>
      </x:c>
      <x:c r="F17" s="9" t="str">
        <x:v>Sebastian Torres</x:v>
      </x:c>
      <x:c r="G17" s="9" t="str">
        <x:v>Pendiente</x:v>
      </x:c>
      <x:c r="H17" s="9" t="str">
        <x:v>Filtrar correcciones aplicables; Loop Over Items</x:v>
      </x:c>
    </x:row>
    <x:row r="18" ht="86" customHeight="1">
      <x:c r="A18" s="13" t="str">
        <x:v>HU-17</x:v>
      </x:c>
      <x:c r="B18" s="13" t="str">
        <x:v>Como equipo quiero casos de prueba trazables para demostrar el comportamiento del prototipo.</x:v>
      </x:c>
      <x:c r="C18" s="13" t="str">
        <x:v>Alta</x:v>
      </x:c>
      <x:c r="D18" s="14" t="n">
        <x:v>5</x:v>
      </x:c>
      <x:c r="E18" s="13" t="str">
        <x:v>Pruebas vinculadas a HU y RNF; registrar entrada, esperado, obtenido y evidencia; integración separada de prueba local.</x:v>
      </x:c>
      <x:c r="F18" s="13" t="str">
        <x:v>Sebastian Torres</x:v>
      </x:c>
      <x:c r="G18" s="13" t="str">
        <x:v>En documentación</x:v>
      </x:c>
      <x:c r="H18" s="13" t="str">
        <x:v>Pruebas.xlsx</x:v>
      </x:c>
    </x:row>
    <x:row r="19" ht="86" customHeight="1">
      <x:c r="A19" s="9" t="str">
        <x:v>HU-18</x:v>
      </x:c>
      <x:c r="B19" s="9" t="str">
        <x:v>Como equipo quiero documentación coherente para explicar arquitectura, datos y calidad del capstone.</x:v>
      </x:c>
      <x:c r="C19" s="9" t="str">
        <x:v>Media</x:v>
      </x:c>
      <x:c r="D19" s="15" t="n">
        <x:v>3</x:v>
      </x:c>
      <x:c r="E19" s="9" t="str">
        <x:v>UML, modelo lógico, RNF y retrospectiva distinguen estado actual y objetivo; revisión de ambos integrantes.</x:v>
      </x:c>
      <x:c r="F19" s="9" t="str">
        <x:v>Equipo</x:v>
      </x:c>
      <x:c r="G19" s="9" t="str">
        <x:v>En documentación</x:v>
      </x:c>
      <x:c r="H19" s="9" t="str">
        <x:v>Los siete entregables de Fase 2</x:v>
      </x:c>
    </x:row>
  </x:sheetData>
  <x:conditionalFormatting sqref="G2:G19">
    <x:cfRule type="containsText" dxfId="0" priority="1" operator="containsText" text="Fallida local"/>
    <x:cfRule type="containsText" dxfId="1" priority="2" operator="containsText" text="Fallida integrada"/>
    <x:cfRule type="containsText" dxfId="2" priority="3" operator="containsText" text="Bloqueada"/>
    <x:cfRule type="containsText" dxfId="3" priority="4" operator="containsText" text="Parcial"/>
  </x:conditionalFormatting>
  <x:dataValidations count="2">
    <x:dataValidation type="list" sqref="G2:G19">
      <x:formula1>"Implementado sin validar,Parcial,Simulado,Pendiente,En documentación"</x:formula1>
    </x:dataValidation>
    <x:dataValidation type="list" sqref="C2:C19">
      <x:formula1>"Alta,Media,Baja"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6c3c337b076405c"/>
  </x:tableParts>
</x:worksheet>
</file>